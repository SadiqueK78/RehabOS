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ow to Use" sheetId="1" r:id="rId4"/>
    <sheet state="visible" name="Verification Evidence" sheetId="2" r:id="rId5"/>
    <sheet state="visible" name="Example" sheetId="3" r:id="rId6"/>
  </sheets>
  <definedNames/>
  <calcPr/>
  <extLst>
    <ext uri="GoogleSheetsCustomDataVersion2">
      <go:sheetsCustomData xmlns:go="http://customooxmlschemas.google.com/" r:id="rId7" roundtripDataChecksum="D1O4Mqu97lC61+2iK9ZwL4SaqrhpIszBl8iHtfDwzPY="/>
    </ext>
  </extLst>
</workbook>
</file>

<file path=xl/sharedStrings.xml><?xml version="1.0" encoding="utf-8"?>
<sst xmlns="http://schemas.openxmlformats.org/spreadsheetml/2006/main" count="109" uniqueCount="90">
  <si>
    <t xml:space="preserve">Verification Evidence Matrix </t>
  </si>
  <si>
    <t>Verification Evidence Matrix — Stride to Sustain</t>
  </si>
  <si>
    <t>Blue rows are available for student entries. Plan the evidence before testing, then record the actual result, decision, corrective action and retest.</t>
  </si>
  <si>
    <t>Requirement ID</t>
  </si>
  <si>
    <t>Test case ID</t>
  </si>
  <si>
    <t>Key question</t>
  </si>
  <si>
    <t>Key Question</t>
  </si>
  <si>
    <t>Method</t>
  </si>
  <si>
    <t>Procedure summary</t>
  </si>
  <si>
    <t>Sample size</t>
  </si>
  <si>
    <t>Test conditions</t>
  </si>
  <si>
    <t>Acceptance criteria</t>
  </si>
  <si>
    <t>Actual result</t>
  </si>
  <si>
    <t>Evidence ID / location</t>
  </si>
  <si>
    <t>Owner</t>
  </si>
  <si>
    <t>Test date</t>
  </si>
  <si>
    <t>Result</t>
  </si>
  <si>
    <t>Corrective action / retest</t>
  </si>
  <si>
    <t>Instructor challenge prompt</t>
  </si>
  <si>
    <t>REQ-001</t>
  </si>
  <si>
    <t>T-001</t>
  </si>
  <si>
    <t>Is the tile generating at least 3J of energy or more ?</t>
  </si>
  <si>
    <t>Measurement</t>
  </si>
  <si>
    <t>Pilot measurement for 24 hours or 2 days with instrumentation - automatically measures at every step</t>
  </si>
  <si>
    <t>Calibrated scale; room temperature; gradual application of pressure</t>
  </si>
  <si>
    <t>Tool 2 — Verification Evidence Matrix</t>
  </si>
  <si>
    <t>Variance in Voltage generated over test cycle is less than 5% of the target</t>
  </si>
  <si>
    <t>Example Summary</t>
  </si>
  <si>
    <t>Purpose</t>
  </si>
  <si>
    <t>EV-001 / mass_test.xlsx</t>
  </si>
  <si>
    <t>Team A</t>
  </si>
  <si>
    <t>Metric</t>
  </si>
  <si>
    <t>Value</t>
  </si>
  <si>
    <t>When that happens it is not a testing failure — it is a requirements failure, and it points back to Session 2.</t>
  </si>
  <si>
    <t>Pass</t>
  </si>
  <si>
    <t>Test records</t>
  </si>
  <si>
    <t>None</t>
  </si>
  <si>
    <t>T-002</t>
  </si>
  <si>
    <t>Is the voltage at the load (light) varying causing flicker</t>
  </si>
  <si>
    <t>Simulation</t>
  </si>
  <si>
    <t>Run a circuit analysis using math tools to analyze the circuit (Eg : Transient Simulation using SPICE)</t>
  </si>
  <si>
    <t>Passed</t>
  </si>
  <si>
    <t>room temperature;  Steady energy withdrawal</t>
  </si>
  <si>
    <t>Failed</t>
  </si>
  <si>
    <t>Not run</t>
  </si>
  <si>
    <t>Seven-step workflow</t>
  </si>
  <si>
    <t>Blocked</t>
  </si>
  <si>
    <t>1</t>
  </si>
  <si>
    <t>Start with one requirement ID and write the key question in plain language.</t>
  </si>
  <si>
    <t>Pass rate</t>
  </si>
  <si>
    <t>2</t>
  </si>
  <si>
    <t>Select a method appropriate to the evidence needed: test, inspection, analysis, demonstration or user study.</t>
  </si>
  <si>
    <t>3</t>
  </si>
  <si>
    <t>Define the procedure, sample size and conditions before viewing the result.</t>
  </si>
  <si>
    <t>Count</t>
  </si>
  <si>
    <t>4</t>
  </si>
  <si>
    <t>State the acceptance criterion exactly. It must permit an objective decision.</t>
  </si>
  <si>
    <t>5</t>
  </si>
  <si>
    <t>Record the actual result and a retrievable evidence ID or location.</t>
  </si>
  <si>
    <t>Fail</t>
  </si>
  <si>
    <t>6</t>
  </si>
  <si>
    <t>Select Pass, Fail, Not Run or Blocked. Do not classify an incomplete test as a pass.</t>
  </si>
  <si>
    <t>Not Run</t>
  </si>
  <si>
    <t>7</t>
  </si>
  <si>
    <t>For failures, record corrective action, affected requirements and the retest plan.</t>
  </si>
  <si>
    <t>Evidence-quality checklist</t>
  </si>
  <si>
    <t>Question</t>
  </si>
  <si>
    <t>Strong evidence</t>
  </si>
  <si>
    <t>Weak evidence</t>
  </si>
  <si>
    <t>Instructor prompt</t>
  </si>
  <si>
    <t>Was the test representative?</t>
  </si>
  <si>
    <t>Conditions and users reflect intended use and foreseeable extremes.</t>
  </si>
  <si>
    <t>Only ideal laboratory conditions.</t>
  </si>
  <si>
    <t>What important real-world condition is absent?</t>
  </si>
  <si>
    <t>Was the sample adequate?</t>
  </si>
  <si>
    <t>Sample size is justified by variability, risk and decision importance.</t>
  </si>
  <si>
    <t>One convenient prototype with no rationale.</t>
  </si>
  <si>
    <t>Would another unit or user plausibly change the result?</t>
  </si>
  <si>
    <t>Was the criterion defined first?</t>
  </si>
  <si>
    <t>Acceptance criterion was approved before the result was observed.</t>
  </si>
  <si>
    <t>Criterion was adjusted after seeing the data.</t>
  </si>
  <si>
    <t>Could the same data be judged differently by another team?</t>
  </si>
  <si>
    <t>Is the evidence retrievable?</t>
  </si>
  <si>
    <t>A controlled report, log, video or dataset is identified.</t>
  </si>
  <si>
    <t>The entry says only “tested” or “works”.</t>
  </si>
  <si>
    <t>Can a reviewer reproduce the decision six months later?</t>
  </si>
  <si>
    <t>Were failures closed?</t>
  </si>
  <si>
    <t>Corrective action, impact analysis and retest are recorded.</t>
  </si>
  <si>
    <t>The issue is discussed but not tracked.</t>
  </si>
  <si>
    <t>Which linked requirements must be retested?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</si>
</sst>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-mmm-yyyy"/>
  </numFmts>
  <fonts count="9">
    <font>
      <sz val="11.0"/>
      <color rgb="FF000000"/>
      <name val="Carlito"/>
      <scheme val="minor"/>
    </font>
    <font>
      <b/>
      <sz val="18.0"/>
      <color rgb="FFFFFFFF"/>
      <name val="Carlito"/>
    </font>
    <font>
      <sz val="10.0"/>
      <color rgb="FF25313C"/>
      <name val="Carlito"/>
    </font>
    <font>
      <b/>
      <sz val="10.0"/>
      <color rgb="FFFFFFFF"/>
      <name val="Carlito"/>
    </font>
    <font>
      <b/>
      <sz val="12.0"/>
      <color rgb="FFFFFFFF"/>
      <name val="Carlito"/>
    </font>
    <font>
      <b/>
      <sz val="24.0"/>
      <color rgb="FF1E293B"/>
      <name val="Calibri"/>
    </font>
    <font>
      <color theme="1"/>
      <name val="Carlito"/>
    </font>
    <font>
      <color theme="1"/>
      <name val="Carlito"/>
      <scheme val="minor"/>
    </font>
    <font>
      <b/>
      <sz val="11.0"/>
      <color rgb="FF17365D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DEEEE"/>
        <bgColor rgb="FFDDEEEE"/>
      </patternFill>
    </fill>
    <fill>
      <patternFill patternType="solid">
        <fgColor rgb="FF1F6D70"/>
        <bgColor rgb="FF1F6D70"/>
      </patternFill>
    </fill>
    <fill>
      <patternFill patternType="solid">
        <fgColor rgb="FFEAF1F8"/>
        <bgColor rgb="FFEAF1F8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2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readingOrder="0" vertical="center"/>
    </xf>
    <xf borderId="0" fillId="3" fontId="2" numFmtId="0" xfId="0" applyAlignment="1" applyFill="1" applyFont="1">
      <alignment shrinkToFit="0" vertical="top" wrapText="1"/>
    </xf>
    <xf borderId="1" fillId="2" fontId="3" numFmtId="0" xfId="0" applyAlignment="1" applyBorder="1" applyFill="1" applyFont="1">
      <alignment horizontal="center" readingOrder="0" shrinkToFit="0" vertical="center" wrapText="1"/>
    </xf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shrinkToFit="0" vertical="top" wrapText="1"/>
    </xf>
    <xf borderId="0" fillId="0" fontId="2" numFmtId="0" xfId="0" applyAlignment="1" applyFont="1">
      <alignment horizontal="center" readingOrder="0" shrinkToFit="0" vertical="center" wrapText="1"/>
    </xf>
    <xf borderId="0" fillId="0" fontId="2" numFmtId="0" xfId="0" applyAlignment="1" applyFont="1">
      <alignment readingOrder="0" shrinkToFit="0" vertical="top" wrapText="1"/>
    </xf>
    <xf borderId="0" fillId="2" fontId="1" numFmtId="0" xfId="0" applyAlignment="1" applyFill="1" applyFont="1">
      <alignment horizontal="left" vertical="center"/>
    </xf>
    <xf borderId="0" fillId="0" fontId="2" numFmtId="10" xfId="0" applyAlignment="1" applyFont="1" applyNumberFormat="1">
      <alignment horizontal="center" shrinkToFit="0" vertical="center" wrapText="1"/>
    </xf>
    <xf borderId="0" fillId="4" fontId="4" numFmtId="0" xfId="0" applyAlignment="1" applyFill="1" applyFont="1">
      <alignment horizontal="left" vertical="center"/>
    </xf>
    <xf borderId="1" fillId="2" fontId="3" numFmtId="0" xfId="0" applyAlignment="1" applyBorder="1" applyFill="1" applyFont="1">
      <alignment horizontal="center" shrinkToFit="0" vertical="center" wrapText="1"/>
    </xf>
    <xf borderId="0" fillId="0" fontId="2" numFmtId="164" xfId="0" applyAlignment="1" applyFont="1" applyNumberFormat="1">
      <alignment horizontal="center" shrinkToFit="0" vertical="center" wrapText="1"/>
    </xf>
    <xf borderId="0" fillId="0" fontId="5" numFmtId="0" xfId="0" applyAlignment="1" applyFont="1">
      <alignment horizontal="left" readingOrder="0"/>
    </xf>
    <xf borderId="0" fillId="0" fontId="2" numFmtId="164" xfId="0" applyAlignment="1" applyFont="1" applyNumberFormat="1">
      <alignment shrinkToFit="0" vertical="top" wrapText="1"/>
    </xf>
    <xf borderId="0" fillId="0" fontId="2" numFmtId="0" xfId="0" applyAlignment="1" applyFont="1">
      <alignment shrinkToFit="0" vertical="top" wrapText="1"/>
    </xf>
    <xf borderId="0" fillId="0" fontId="6" numFmtId="0" xfId="0" applyAlignment="1" applyFont="1">
      <alignment horizontal="center" vertical="center"/>
    </xf>
    <xf borderId="0" fillId="0" fontId="5" numFmtId="0" xfId="0" applyAlignment="1" applyFont="1">
      <alignment horizontal="center"/>
    </xf>
    <xf borderId="0" fillId="0" fontId="7" numFmtId="0" xfId="0" applyAlignment="1" applyFont="1">
      <alignment horizontal="center" vertical="center"/>
    </xf>
    <xf borderId="1" fillId="5" fontId="8" numFmtId="0" xfId="0" applyAlignment="1" applyBorder="1" applyFill="1" applyFont="1">
      <alignment horizontal="center" vertical="center"/>
    </xf>
    <xf borderId="0" fillId="0" fontId="2" numFmtId="0" xfId="0" applyAlignment="1" applyFont="1">
      <alignment readingOrder="0" shrinkToFit="0" vertical="top" wrapText="1"/>
    </xf>
    <xf borderId="0" fillId="0" fontId="2" numFmtId="9" xfId="0" applyAlignment="1" applyFont="1" applyNumberFormat="1">
      <alignment shrinkToFit="0" vertical="top" wrapText="1"/>
    </xf>
    <xf borderId="1" fillId="2" fontId="3" numFmtId="0" xfId="0" applyAlignment="1" applyBorder="1" applyFill="1" applyFont="1">
      <alignment horizontal="center" readingOrder="0" shrinkToFit="0" vertical="center" wrapText="1"/>
    </xf>
    <xf borderId="1" fillId="5" fontId="2" numFmtId="0" xfId="0" applyAlignment="1" applyBorder="1" applyFill="1" applyFont="1">
      <alignment shrinkToFit="0" vertical="top" wrapText="1"/>
    </xf>
    <xf borderId="1" fillId="5" fontId="2" numFmtId="164" xfId="0" applyAlignment="1" applyBorder="1" applyFill="1" applyFont="1" applyNumberFormat="1">
      <alignment shrinkToFit="0" vertical="top" wrapText="1"/>
    </xf>
    <xf borderId="0" fillId="5" fontId="2" numFmtId="0" xfId="0" applyAlignment="1" applyFill="1" applyFont="1">
      <alignment shrinkToFit="0" vertical="top" wrapText="1"/>
    </xf>
    <xf borderId="0" fillId="5" fontId="2" numFmtId="164" xfId="0" applyAlignment="1" applyFill="1" applyFont="1" applyNumberFormat="1">
      <alignment shrinkToFit="0" vertical="top" wrapText="1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color rgb="FF1E6B36"/>
      </font>
      <fill>
        <patternFill patternType="solid">
          <fgColor rgb="FFE6F4EA"/>
          <bgColor rgb="FFE6F4EA"/>
        </patternFill>
      </fill>
      <border/>
    </dxf>
    <dxf>
      <font>
        <b/>
        <color rgb="FF9C2D22"/>
      </font>
      <fill>
        <patternFill patternType="solid">
          <fgColor rgb="FFFCE8E6"/>
          <bgColor rgb="FFFCE8E6"/>
        </patternFill>
      </fill>
      <border/>
    </dxf>
    <dxf>
      <font>
        <b/>
        <color rgb="FF7A5B00"/>
      </font>
      <fill>
        <patternFill patternType="solid">
          <fgColor rgb="FFFFF4CE"/>
          <bgColor rgb="FFFFF4CE"/>
        </patternFill>
      </fill>
      <border/>
    </dxf>
  </dxfs>
  <tableStyles count="2">
    <tableStyle count="4" pivot="0" name="Verification Evidence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Example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Validation status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Count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'How to Use'!$J$13:$J$16</c:f>
            </c:strRef>
          </c:cat>
          <c:val>
            <c:numRef>
              <c:f>'How to Use'!$K$13:$K$16</c:f>
              <c:numCache/>
            </c:numRef>
          </c:val>
        </c:ser>
        <c:axId val="1364477123"/>
        <c:axId val="1739850771"/>
      </c:barChart>
      <c:catAx>
        <c:axId val="13644771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39850771"/>
      </c:catAx>
      <c:valAx>
        <c:axId val="17398507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64477123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0</xdr:colOff>
      <xdr:row>17</xdr:row>
      <xdr:rowOff>0</xdr:rowOff>
    </xdr:from>
    <xdr:ext cx="4495800" cy="2800350"/>
    <xdr:graphicFrame>
      <xdr:nvGraphicFramePr>
        <xdr:cNvPr id="59063598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6:O26" displayName="Table_1" name="Table_1" id="2">
  <tableColumns count="15">
    <tableColumn name="Requirement ID" id="1"/>
    <tableColumn name="Test case ID" id="2"/>
    <tableColumn name="Key Question" id="3"/>
    <tableColumn name="Method" id="4"/>
    <tableColumn name="Procedure summary" id="5"/>
    <tableColumn name="Sample size" id="6"/>
    <tableColumn name="Test conditions" id="7"/>
    <tableColumn name="Acceptance criteria" id="8"/>
    <tableColumn name="Actual result" id="9"/>
    <tableColumn name="Evidence ID / location" id="10"/>
    <tableColumn name="Owner" id="11"/>
    <tableColumn name="Test date" id="12"/>
    <tableColumn name="Result" id="13"/>
    <tableColumn name="Corrective action / retest" id="14"/>
    <tableColumn name="Instructor challenge prompt" id="15"/>
  </tableColumns>
  <tableStyleInfo name="Verification Evidence-style" showColumnStripes="0" showFirstColumn="1" showLastColumn="1" showRowStripes="1"/>
</table>
</file>

<file path=xl/tables/table2.xml><?xml version="1.0" encoding="utf-8"?>
<table xmlns="http://schemas.openxmlformats.org/spreadsheetml/2006/main" ref="A6:O26" displayName="Table_2" name="Table_2" id="1">
  <tableColumns count="15">
    <tableColumn name="Requirement ID" id="1"/>
    <tableColumn name="Test case ID" id="2"/>
    <tableColumn name="Key question" id="3"/>
    <tableColumn name="Method" id="4"/>
    <tableColumn name="Procedure summary" id="5"/>
    <tableColumn name="Sample size" id="6"/>
    <tableColumn name="Test conditions" id="7"/>
    <tableColumn name="Acceptance criteria" id="8"/>
    <tableColumn name="Actual result" id="9"/>
    <tableColumn name="Evidence ID / location" id="10"/>
    <tableColumn name="Owner" id="11"/>
    <tableColumn name="Test date" id="12"/>
    <tableColumn name="Result" id="13"/>
    <tableColumn name="Corrective action / retest" id="14"/>
    <tableColumn name="Instructor challenge prompt" id="15"/>
  </tableColumns>
  <tableStyleInfo name="Example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0"/>
    <col customWidth="1" min="2" max="2" width="52.0"/>
    <col customWidth="1" min="3" max="3" width="33.0"/>
    <col customWidth="1" min="4" max="4" width="35.0"/>
    <col customWidth="1" min="5" max="8" width="12.0"/>
    <col customWidth="1" min="9" max="9" width="8.63"/>
    <col customWidth="1" min="10" max="10" width="22.0"/>
    <col customWidth="1" min="11" max="11" width="13.0"/>
    <col customWidth="1" min="12" max="13" width="12.0"/>
    <col customWidth="1" min="14" max="26" width="8.63"/>
  </cols>
  <sheetData>
    <row r="1">
      <c r="A1" s="1" t="s">
        <v>25</v>
      </c>
      <c r="J1" s="8" t="s">
        <v>27</v>
      </c>
    </row>
    <row r="4">
      <c r="A4" s="10" t="s">
        <v>28</v>
      </c>
      <c r="J4" s="11" t="s">
        <v>31</v>
      </c>
      <c r="K4" s="11" t="s">
        <v>32</v>
      </c>
    </row>
    <row r="5">
      <c r="A5" s="13" t="s">
        <v>33</v>
      </c>
      <c r="B5" s="2"/>
      <c r="C5" s="2"/>
      <c r="D5" s="2"/>
      <c r="E5" s="2"/>
      <c r="F5" s="2"/>
      <c r="G5" s="2"/>
      <c r="H5" s="2"/>
      <c r="J5" s="15" t="s">
        <v>35</v>
      </c>
      <c r="K5" s="15">
        <f>COUNTA('Verification Evidence'!A7:A26)</f>
        <v>0</v>
      </c>
    </row>
    <row r="6">
      <c r="A6" s="17"/>
      <c r="B6" s="2"/>
      <c r="C6" s="2"/>
      <c r="D6" s="2"/>
      <c r="E6" s="2"/>
      <c r="F6" s="2"/>
      <c r="G6" s="2"/>
      <c r="H6" s="2"/>
      <c r="J6" s="15" t="s">
        <v>41</v>
      </c>
      <c r="K6" s="15">
        <f>COUNTIF('Verification Evidence'!M7:M26,"Pass")</f>
        <v>0</v>
      </c>
    </row>
    <row r="7">
      <c r="A7" s="2"/>
      <c r="B7" s="2"/>
      <c r="C7" s="2"/>
      <c r="D7" s="2"/>
      <c r="E7" s="2"/>
      <c r="F7" s="2"/>
      <c r="G7" s="2"/>
      <c r="H7" s="2"/>
      <c r="J7" s="15" t="s">
        <v>43</v>
      </c>
      <c r="K7" s="15">
        <f>COUNTIF('Verification Evidence'!M7:M26,"Fail")</f>
        <v>0</v>
      </c>
    </row>
    <row r="8">
      <c r="J8" s="15" t="s">
        <v>44</v>
      </c>
      <c r="K8" s="15">
        <f>COUNTIF('Verification Evidence'!M7:M26,"Not Run")</f>
        <v>0</v>
      </c>
    </row>
    <row r="9">
      <c r="A9" s="10" t="s">
        <v>45</v>
      </c>
      <c r="J9" s="15" t="s">
        <v>46</v>
      </c>
      <c r="K9" s="15">
        <f>COUNTIF('Verification Evidence'!M7:M26,"Blocked")</f>
        <v>0</v>
      </c>
    </row>
    <row r="10">
      <c r="A10" s="19" t="s">
        <v>47</v>
      </c>
      <c r="B10" s="20" t="s">
        <v>48</v>
      </c>
      <c r="J10" s="15" t="s">
        <v>49</v>
      </c>
      <c r="K10" s="21">
        <f>IFERROR(K6/(K6+K7),0)</f>
        <v>0</v>
      </c>
    </row>
    <row r="11">
      <c r="A11" s="19" t="s">
        <v>50</v>
      </c>
      <c r="B11" s="15" t="s">
        <v>51</v>
      </c>
    </row>
    <row r="12">
      <c r="A12" s="19" t="s">
        <v>52</v>
      </c>
      <c r="B12" s="15" t="s">
        <v>53</v>
      </c>
      <c r="J12" s="22" t="s">
        <v>16</v>
      </c>
      <c r="K12" s="11" t="s">
        <v>54</v>
      </c>
    </row>
    <row r="13">
      <c r="A13" s="19" t="s">
        <v>55</v>
      </c>
      <c r="B13" s="15" t="s">
        <v>56</v>
      </c>
      <c r="J13" s="15" t="s">
        <v>34</v>
      </c>
      <c r="K13" s="15">
        <f>COUNTIF('Verification Evidence'!M7:M26,J13)</f>
        <v>0</v>
      </c>
    </row>
    <row r="14">
      <c r="A14" s="19" t="s">
        <v>57</v>
      </c>
      <c r="B14" s="15" t="s">
        <v>58</v>
      </c>
      <c r="J14" s="15" t="s">
        <v>59</v>
      </c>
      <c r="K14" s="15">
        <f>COUNTIF('Verification Evidence'!M8:M27,J14)</f>
        <v>0</v>
      </c>
    </row>
    <row r="15">
      <c r="A15" s="19" t="s">
        <v>60</v>
      </c>
      <c r="B15" s="15" t="s">
        <v>61</v>
      </c>
      <c r="J15" s="15" t="s">
        <v>62</v>
      </c>
      <c r="K15" s="15">
        <f>COUNTIF('Verification Evidence'!M9:M28,J15)</f>
        <v>0</v>
      </c>
    </row>
    <row r="16">
      <c r="A16" s="19" t="s">
        <v>63</v>
      </c>
      <c r="B16" s="15" t="s">
        <v>64</v>
      </c>
      <c r="J16" s="15" t="s">
        <v>46</v>
      </c>
      <c r="K16" s="15">
        <f>COUNTIF('Verification Evidence'!M10:M29,J16)</f>
        <v>0</v>
      </c>
    </row>
    <row r="18">
      <c r="A18" s="10" t="s">
        <v>65</v>
      </c>
    </row>
    <row r="19">
      <c r="A19" s="11" t="s">
        <v>66</v>
      </c>
      <c r="B19" s="11" t="s">
        <v>67</v>
      </c>
      <c r="C19" s="11" t="s">
        <v>68</v>
      </c>
      <c r="D19" s="11" t="s">
        <v>69</v>
      </c>
    </row>
    <row r="20">
      <c r="A20" s="15" t="s">
        <v>70</v>
      </c>
      <c r="B20" s="15" t="s">
        <v>71</v>
      </c>
      <c r="C20" s="15" t="s">
        <v>72</v>
      </c>
      <c r="D20" s="15" t="s">
        <v>73</v>
      </c>
    </row>
    <row r="21" ht="15.75" customHeight="1">
      <c r="A21" s="15" t="s">
        <v>74</v>
      </c>
      <c r="B21" s="15" t="s">
        <v>75</v>
      </c>
      <c r="C21" s="15" t="s">
        <v>76</v>
      </c>
      <c r="D21" s="15" t="s">
        <v>77</v>
      </c>
    </row>
    <row r="22" ht="15.75" customHeight="1">
      <c r="A22" s="15" t="s">
        <v>78</v>
      </c>
      <c r="B22" s="15" t="s">
        <v>79</v>
      </c>
      <c r="C22" s="15" t="s">
        <v>80</v>
      </c>
      <c r="D22" s="15" t="s">
        <v>81</v>
      </c>
    </row>
    <row r="23" ht="15.75" customHeight="1">
      <c r="A23" s="15" t="s">
        <v>82</v>
      </c>
      <c r="B23" s="15" t="s">
        <v>83</v>
      </c>
      <c r="C23" s="15" t="s">
        <v>84</v>
      </c>
      <c r="D23" s="15" t="s">
        <v>85</v>
      </c>
    </row>
    <row r="24" ht="15.75" customHeight="1">
      <c r="A24" s="15" t="s">
        <v>86</v>
      </c>
      <c r="B24" s="15" t="s">
        <v>87</v>
      </c>
      <c r="C24" s="15" t="s">
        <v>88</v>
      </c>
      <c r="D24" s="15" t="s">
        <v>89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5">
    <mergeCell ref="A1:H2"/>
    <mergeCell ref="J1:M2"/>
    <mergeCell ref="A4:H4"/>
    <mergeCell ref="A9:H9"/>
    <mergeCell ref="A18:H18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3.0"/>
    <col customWidth="1" min="3" max="3" width="33.0"/>
    <col customWidth="1" min="4" max="4" width="19.0"/>
    <col customWidth="1" min="5" max="5" width="42.0"/>
    <col customWidth="1" min="6" max="6" width="12.0"/>
    <col customWidth="1" min="7" max="7" width="28.0"/>
    <col customWidth="1" min="8" max="9" width="30.0"/>
    <col customWidth="1" min="10" max="10" width="24.0"/>
    <col customWidth="1" min="11" max="12" width="14.0"/>
    <col customWidth="1" min="13" max="13" width="12.0"/>
    <col customWidth="1" min="14" max="15" width="36.0"/>
    <col customWidth="1" min="16" max="26" width="8.63"/>
  </cols>
  <sheetData>
    <row r="1">
      <c r="A1" s="1" t="s">
        <v>0</v>
      </c>
    </row>
    <row r="3">
      <c r="A3" s="2" t="s">
        <v>2</v>
      </c>
    </row>
    <row r="6" ht="42.0" customHeight="1">
      <c r="A6" s="3" t="s">
        <v>3</v>
      </c>
      <c r="B6" s="3" t="s">
        <v>4</v>
      </c>
      <c r="C6" s="3" t="s">
        <v>6</v>
      </c>
      <c r="D6" s="3" t="s">
        <v>7</v>
      </c>
      <c r="E6" s="3" t="s">
        <v>8</v>
      </c>
      <c r="F6" s="3" t="s">
        <v>9</v>
      </c>
      <c r="G6" s="3" t="s">
        <v>10</v>
      </c>
      <c r="H6" s="3" t="s">
        <v>11</v>
      </c>
      <c r="I6" s="3" t="s">
        <v>12</v>
      </c>
      <c r="J6" s="3" t="s">
        <v>13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</row>
    <row r="7" ht="72.0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14"/>
      <c r="M7" s="5"/>
      <c r="N7" s="5"/>
      <c r="O7" s="5"/>
    </row>
    <row r="8" ht="72.0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14"/>
      <c r="M8" s="5"/>
      <c r="N8" s="5"/>
      <c r="O8" s="5"/>
    </row>
    <row r="9" ht="72.0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14"/>
      <c r="M9" s="5"/>
      <c r="N9" s="5"/>
      <c r="O9" s="5"/>
    </row>
    <row r="10" ht="72.0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14"/>
      <c r="M10" s="5"/>
      <c r="N10" s="5"/>
      <c r="O10" s="5"/>
    </row>
    <row r="11" ht="72.0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14"/>
      <c r="M11" s="5"/>
      <c r="N11" s="5"/>
      <c r="O11" s="5"/>
    </row>
    <row r="12" ht="72.0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14"/>
      <c r="M12" s="5"/>
      <c r="N12" s="5"/>
      <c r="O12" s="5"/>
    </row>
    <row r="13" ht="72.0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14"/>
      <c r="M13" s="5"/>
      <c r="N13" s="5"/>
      <c r="O13" s="5"/>
    </row>
    <row r="14" ht="72.0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14"/>
      <c r="M14" s="5"/>
      <c r="N14" s="5"/>
      <c r="O14" s="5"/>
    </row>
    <row r="15" ht="72.0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14"/>
      <c r="M15" s="5"/>
      <c r="N15" s="5"/>
      <c r="O15" s="5"/>
    </row>
    <row r="16" ht="72.0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14"/>
      <c r="M16" s="5"/>
      <c r="N16" s="5"/>
      <c r="O16" s="5"/>
    </row>
    <row r="17" ht="72.0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4"/>
      <c r="M17" s="23"/>
      <c r="N17" s="23"/>
      <c r="O17" s="23"/>
    </row>
    <row r="18" ht="72.0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4"/>
      <c r="M18" s="23"/>
      <c r="N18" s="23"/>
      <c r="O18" s="23"/>
    </row>
    <row r="19" ht="72.0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4"/>
      <c r="M19" s="23"/>
      <c r="N19" s="23"/>
      <c r="O19" s="23"/>
    </row>
    <row r="20" ht="72.0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4"/>
      <c r="M20" s="23"/>
      <c r="N20" s="23"/>
      <c r="O20" s="23"/>
    </row>
    <row r="21" ht="72.0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4"/>
      <c r="M21" s="23"/>
      <c r="N21" s="23"/>
      <c r="O21" s="23"/>
    </row>
    <row r="22" ht="72.0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4"/>
      <c r="M22" s="23"/>
      <c r="N22" s="23"/>
      <c r="O22" s="23"/>
    </row>
    <row r="23" ht="72.0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4"/>
      <c r="M23" s="23"/>
      <c r="N23" s="23"/>
      <c r="O23" s="23"/>
    </row>
    <row r="24" ht="72.0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4"/>
      <c r="M24" s="23"/>
      <c r="N24" s="23"/>
      <c r="O24" s="23"/>
    </row>
    <row r="25" ht="72.0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4"/>
      <c r="M25" s="23"/>
      <c r="N25" s="23"/>
      <c r="O25" s="23"/>
    </row>
    <row r="26" ht="72.0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4"/>
      <c r="M26" s="23"/>
      <c r="N26" s="23"/>
      <c r="O26" s="23"/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O2"/>
    <mergeCell ref="A3:O4"/>
  </mergeCells>
  <conditionalFormatting sqref="M7:M26">
    <cfRule type="expression" dxfId="5" priority="1">
      <formula>M7="Pass"</formula>
    </cfRule>
  </conditionalFormatting>
  <conditionalFormatting sqref="M7:M26">
    <cfRule type="expression" dxfId="6" priority="2">
      <formula>M7="Fail"</formula>
    </cfRule>
  </conditionalFormatting>
  <conditionalFormatting sqref="M7:M26">
    <cfRule type="expression" dxfId="7" priority="3">
      <formula>OR(M7="Not Run",M7="Blocked",M7="Pending")</formula>
    </cfRule>
  </conditionalFormatting>
  <dataValidations>
    <dataValidation type="list" allowBlank="1" sqref="D7:D26">
      <formula1>"Measurement,Instrumented test,Simulation,Bench Test,Hand Calculation,Pilot test with users,Inspection review with experts"</formula1>
    </dataValidation>
    <dataValidation type="list" allowBlank="1" sqref="M7:M26">
      <formula1>"Pass,Fail,Did not Test,Blocked - Unable to test"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3.0"/>
    <col customWidth="1" min="3" max="3" width="33.0"/>
    <col customWidth="1" min="4" max="4" width="19.0"/>
    <col customWidth="1" min="5" max="5" width="42.0"/>
    <col customWidth="1" min="6" max="6" width="12.0"/>
    <col customWidth="1" min="7" max="7" width="28.0"/>
    <col customWidth="1" min="8" max="9" width="30.0"/>
    <col customWidth="1" min="10" max="10" width="24.0"/>
    <col customWidth="1" min="11" max="12" width="14.0"/>
    <col customWidth="1" min="13" max="13" width="12.0"/>
    <col customWidth="1" min="14" max="15" width="36.0"/>
    <col customWidth="1" min="16" max="26" width="8.63"/>
  </cols>
  <sheetData>
    <row r="1">
      <c r="A1" s="1" t="s">
        <v>1</v>
      </c>
    </row>
    <row r="3">
      <c r="A3" s="2" t="s">
        <v>2</v>
      </c>
    </row>
    <row r="6" ht="42.0" customHeight="1">
      <c r="A6" s="3" t="s">
        <v>3</v>
      </c>
      <c r="B6" s="3" t="s">
        <v>4</v>
      </c>
      <c r="C6" s="3" t="s">
        <v>5</v>
      </c>
      <c r="D6" s="3" t="s">
        <v>7</v>
      </c>
      <c r="E6" s="3" t="s">
        <v>8</v>
      </c>
      <c r="F6" s="3" t="s">
        <v>9</v>
      </c>
      <c r="G6" s="3" t="s">
        <v>10</v>
      </c>
      <c r="H6" s="3" t="s">
        <v>11</v>
      </c>
      <c r="I6" s="3" t="s">
        <v>12</v>
      </c>
      <c r="J6" s="3" t="s">
        <v>13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</row>
    <row r="7" ht="72.0" customHeight="1">
      <c r="A7" s="4" t="s">
        <v>19</v>
      </c>
      <c r="B7" s="4" t="s">
        <v>20</v>
      </c>
      <c r="C7" s="6" t="s">
        <v>21</v>
      </c>
      <c r="D7" s="7" t="s">
        <v>22</v>
      </c>
      <c r="E7" s="6" t="s">
        <v>23</v>
      </c>
      <c r="F7" s="6">
        <v>5.0</v>
      </c>
      <c r="G7" s="6" t="s">
        <v>24</v>
      </c>
      <c r="H7" s="6" t="s">
        <v>26</v>
      </c>
      <c r="I7" s="9">
        <v>0.045</v>
      </c>
      <c r="J7" s="4" t="s">
        <v>29</v>
      </c>
      <c r="K7" s="4" t="s">
        <v>30</v>
      </c>
      <c r="L7" s="12">
        <v>46218.0</v>
      </c>
      <c r="M7" s="6" t="s">
        <v>34</v>
      </c>
      <c r="N7" s="4" t="s">
        <v>36</v>
      </c>
      <c r="O7" s="4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ht="72.0" customHeight="1">
      <c r="A8" s="6" t="s">
        <v>19</v>
      </c>
      <c r="B8" s="6" t="s">
        <v>37</v>
      </c>
      <c r="C8" s="6" t="s">
        <v>38</v>
      </c>
      <c r="D8" s="6" t="s">
        <v>39</v>
      </c>
      <c r="E8" s="6" t="s">
        <v>40</v>
      </c>
      <c r="F8" s="4"/>
      <c r="G8" s="6" t="s">
        <v>42</v>
      </c>
      <c r="H8" s="6"/>
      <c r="I8" s="4"/>
      <c r="J8" s="4"/>
      <c r="K8" s="4"/>
      <c r="L8" s="12"/>
      <c r="M8" s="4"/>
      <c r="N8" s="4"/>
      <c r="O8" s="4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ht="72.0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14"/>
      <c r="M9" s="5"/>
      <c r="N9" s="5"/>
      <c r="O9" s="5"/>
    </row>
    <row r="10" ht="72.0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14"/>
      <c r="M10" s="5"/>
      <c r="N10" s="5"/>
      <c r="O10" s="5"/>
    </row>
    <row r="11" ht="72.0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14"/>
      <c r="M11" s="5"/>
      <c r="N11" s="5"/>
      <c r="O11" s="5"/>
    </row>
    <row r="12" ht="72.0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14"/>
      <c r="M12" s="5"/>
      <c r="N12" s="5"/>
      <c r="O12" s="5"/>
    </row>
    <row r="13" ht="72.0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14"/>
      <c r="M13" s="5"/>
      <c r="N13" s="5"/>
      <c r="O13" s="5"/>
    </row>
    <row r="14" ht="72.0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14"/>
      <c r="M14" s="5"/>
      <c r="N14" s="5"/>
      <c r="O14" s="5"/>
    </row>
    <row r="15" ht="72.0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14"/>
      <c r="M15" s="5"/>
      <c r="N15" s="5"/>
      <c r="O15" s="5"/>
    </row>
    <row r="16" ht="72.0" customHeight="1">
      <c r="A16" s="23"/>
      <c r="B16" s="23"/>
      <c r="C16" s="23"/>
      <c r="D16" s="5"/>
      <c r="E16" s="23"/>
      <c r="F16" s="23"/>
      <c r="G16" s="23"/>
      <c r="H16" s="23"/>
      <c r="I16" s="23"/>
      <c r="J16" s="23"/>
      <c r="K16" s="23"/>
      <c r="L16" s="24"/>
      <c r="M16" s="5"/>
      <c r="N16" s="23"/>
      <c r="O16" s="23"/>
    </row>
    <row r="17" ht="72.0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4"/>
      <c r="M17" s="23"/>
      <c r="N17" s="23"/>
      <c r="O17" s="23"/>
    </row>
    <row r="18" ht="72.0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4"/>
      <c r="M18" s="23"/>
      <c r="N18" s="23"/>
      <c r="O18" s="23"/>
    </row>
    <row r="19" ht="72.0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4"/>
      <c r="M19" s="23"/>
      <c r="N19" s="23"/>
      <c r="O19" s="23"/>
    </row>
    <row r="20" ht="72.0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4"/>
      <c r="M20" s="23"/>
      <c r="N20" s="23"/>
      <c r="O20" s="23"/>
    </row>
    <row r="21" ht="72.0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4"/>
      <c r="M21" s="23"/>
      <c r="N21" s="23"/>
      <c r="O21" s="23"/>
    </row>
    <row r="22" ht="72.0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4"/>
      <c r="M22" s="23"/>
      <c r="N22" s="23"/>
      <c r="O22" s="23"/>
    </row>
    <row r="23" ht="72.0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4"/>
      <c r="M23" s="23"/>
      <c r="N23" s="23"/>
      <c r="O23" s="23"/>
    </row>
    <row r="24" ht="72.0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4"/>
      <c r="M24" s="23"/>
      <c r="N24" s="23"/>
      <c r="O24" s="23"/>
    </row>
    <row r="25" ht="72.0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4"/>
      <c r="M25" s="23"/>
      <c r="N25" s="23"/>
      <c r="O25" s="23"/>
    </row>
    <row r="26" ht="15.75" customHeight="1">
      <c r="A26" s="25"/>
      <c r="B26" s="25"/>
      <c r="C26" s="25"/>
      <c r="D26" s="23"/>
      <c r="E26" s="25"/>
      <c r="F26" s="25"/>
      <c r="G26" s="25"/>
      <c r="H26" s="25"/>
      <c r="I26" s="25"/>
      <c r="J26" s="25"/>
      <c r="K26" s="25"/>
      <c r="L26" s="26"/>
      <c r="M26" s="23"/>
      <c r="N26" s="25"/>
      <c r="O26" s="25"/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2">
    <mergeCell ref="A1:O2"/>
    <mergeCell ref="A3:O4"/>
  </mergeCells>
  <conditionalFormatting sqref="M7:M26">
    <cfRule type="expression" dxfId="5" priority="1">
      <formula>M7="Pass"</formula>
    </cfRule>
  </conditionalFormatting>
  <conditionalFormatting sqref="M7:M26">
    <cfRule type="expression" dxfId="6" priority="2">
      <formula>M7="Fail"</formula>
    </cfRule>
  </conditionalFormatting>
  <conditionalFormatting sqref="M7:M26">
    <cfRule type="expression" dxfId="7" priority="3">
      <formula>OR(M7="Not Run",M7="Blocked",M7="Pending")</formula>
    </cfRule>
  </conditionalFormatting>
  <dataValidations>
    <dataValidation type="list" allowBlank="1" sqref="D7:D26">
      <formula1>"Measurement,Instrumented test,Simulation,Bench Test,Hand Calculation,Pilot test with users,Inspection review with experts"</formula1>
    </dataValidation>
    <dataValidation type="list" allowBlank="1" sqref="M7:M26">
      <formula1>"Pass,Fail,Did not Test,Blocked - Unable to test"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