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_to_Use" sheetId="1" r:id="rId4"/>
    <sheet state="visible" name="DFMEA_Template" sheetId="2" r:id="rId5"/>
    <sheet state="visible" name="Piezo_Example" sheetId="3" r:id="rId6"/>
  </sheets>
  <definedNames/>
  <calcPr/>
  <extLst>
    <ext uri="GoogleSheetsCustomDataVersion2">
      <go:sheetsCustomData xmlns:go="http://customooxmlschemas.google.com/" r:id="rId7" roundtripDataChecksum="1GYe89afmCC5Bht3ghdnbE+tdgvQXE0GVj2be7Vp3ps="/>
    </ext>
  </extLst>
</workbook>
</file>

<file path=xl/sharedStrings.xml><?xml version="1.0" encoding="utf-8"?>
<sst xmlns="http://schemas.openxmlformats.org/spreadsheetml/2006/main" count="175" uniqueCount="133">
  <si>
    <t>Design FMEA (DFMEA) — Project Template</t>
  </si>
  <si>
    <t>Design FMEA (DFMEA) — How to Use This Tool</t>
  </si>
  <si>
    <t>DFMEA Worked Example — Piezo Energy Harvesting Tile</t>
  </si>
  <si>
    <t>IUCEE IASF 2027 · Faculty Mentor Sessions · Session 4</t>
  </si>
  <si>
    <t>IUCEE IASF 2027 · Faculty Mentor Sessions · Session 4 — Concept Design &amp; POC  |  Columns P–R: enter revised S / O / D after action; Column S = RPN After (auto)</t>
  </si>
  <si>
    <t>What is DFMEA?</t>
  </si>
  <si>
    <t>Project: Stride to Sustain  |  Team: SAKEC  |  Stage 3 — Concept Design / POC  |  Replace green (italic) cells with your own project data</t>
  </si>
  <si>
    <t>Fill in yellow cells. Green cells with italic text are auto-calculated — do not edit. Add rows at the bottom. Do NOT insert rows above row 15.</t>
  </si>
  <si>
    <t>Definition</t>
  </si>
  <si>
    <t>Design FMEA (Failure Modes and Effects Analysis) is a structured, proactive method to identify potential ways a design could fail, assess the risk of each failure, and prioritise corrective actions — before the product reaches the customer.
Reference: AIAG &amp; VDA FMEA Handbook, 1st ed. (2019).</t>
  </si>
  <si>
    <t>Project / Product Name</t>
  </si>
  <si>
    <t>When to use</t>
  </si>
  <si>
    <t>Start during Concept Design (Stage 3) and update through Detailed Design and Prototype testing. In Stage-Gate, DFMEA is a standard deliverable from Stage 3 onward. Keep it as a living document — revise after every design change, test failure, or customer complaint.</t>
  </si>
  <si>
    <t>The Three Risk Dimensions</t>
  </si>
  <si>
    <t>Team Name</t>
  </si>
  <si>
    <t>SEVERITY (S) — Impact on customer if failure reaches them</t>
  </si>
  <si>
    <t>Date</t>
  </si>
  <si>
    <t>Score</t>
  </si>
  <si>
    <t>What it means</t>
  </si>
  <si>
    <t>Mentor</t>
  </si>
  <si>
    <t>9–10</t>
  </si>
  <si>
    <t>Safety or regulatory impact — may harm the user</t>
  </si>
  <si>
    <t>7–8</t>
  </si>
  <si>
    <t>Institution</t>
  </si>
  <si>
    <t>High dissatisfaction — product inoperable</t>
  </si>
  <si>
    <t>5–6</t>
  </si>
  <si>
    <t>Stride to Sustain — Piezoelectric Energy Harvesting Floor Tile</t>
  </si>
  <si>
    <t>Moderate impact — reduced performance</t>
  </si>
  <si>
    <t>Stage</t>
  </si>
  <si>
    <t>3–4</t>
  </si>
  <si>
    <t>Stage 3 — Concept Design / POC</t>
  </si>
  <si>
    <t>Minor impact noticed by the customer</t>
  </si>
  <si>
    <t>1–2</t>
  </si>
  <si>
    <t>No discernible effect</t>
  </si>
  <si>
    <t>DFMEA Analysis Table</t>
  </si>
  <si>
    <t>Tip: If a failure could cause user injury or regulatory non-compliance, S ≥ 9 regardless of likelihood.</t>
  </si>
  <si>
    <t>Team SAKEC — Faculty Mentor Group</t>
  </si>
  <si>
    <t>OCCURRENCE (O) — How often does the failure cause arise?</t>
  </si>
  <si>
    <t>Component / Element</t>
  </si>
  <si>
    <t>Function &amp; Performance Target</t>
  </si>
  <si>
    <t>Potential Failure Mode</t>
  </si>
  <si>
    <t>Potential Effect of Failure</t>
  </si>
  <si>
    <t>S
(1–10)</t>
  </si>
  <si>
    <t>Potential Cause of Failure</t>
  </si>
  <si>
    <t>O
(1–10)</t>
  </si>
  <si>
    <t>Current Detection Controls</t>
  </si>
  <si>
    <t>D
(1–10)</t>
  </si>
  <si>
    <t>RPN</t>
  </si>
  <si>
    <t>Very high — failure almost certain (e.g. every day)</t>
  </si>
  <si>
    <t>Session 4 Worked Example</t>
  </si>
  <si>
    <t>AP
(H/M/L)</t>
  </si>
  <si>
    <t>Recommended Action</t>
  </si>
  <si>
    <t>Responsible</t>
  </si>
  <si>
    <t>High — repeated failures likely (e.g. weekly)</t>
  </si>
  <si>
    <t>Target Date</t>
  </si>
  <si>
    <t>Action Taken</t>
  </si>
  <si>
    <t>S
After</t>
  </si>
  <si>
    <t>Moderate — occasional failures (e.g. monthly)</t>
  </si>
  <si>
    <t>O
After</t>
  </si>
  <si>
    <t>D
After</t>
  </si>
  <si>
    <t>RPN
After</t>
  </si>
  <si>
    <t>Low — relatively few failures (e.g. yearly)</t>
  </si>
  <si>
    <t>RPN = S × O × D   |   AP heuristic: H if S≥9 or RPN≥200 · M if RPN≥100 · L otherwise   |   Replace with full AIAG VDA 2019 lookup for production use.</t>
  </si>
  <si>
    <t>[Mentor Name]</t>
  </si>
  <si>
    <t>Very low — failure unlikely (e.g. once in years)</t>
  </si>
  <si>
    <t>Tip: Base O on field experience, test data, or engineering judgement. Don't optimise it away.</t>
  </si>
  <si>
    <t>DETECTION (D) — Can you catch it before it reaches the customer?</t>
  </si>
  <si>
    <t>SAKEC / IUCEE IASF 2027</t>
  </si>
  <si>
    <t>No detection control — defect will reach customer</t>
  </si>
  <si>
    <t>Poor detection — unlikely to be caught</t>
  </si>
  <si>
    <t>Moderate — manual inspection, not systematic</t>
  </si>
  <si>
    <t>High — systematic checks, likely to detect</t>
  </si>
  <si>
    <t>Almost certain detection before customer impact</t>
  </si>
  <si>
    <t>Tip: Low D means GOOD detection. D=1 = defect is always caught; D=10 = defect is invisible.</t>
  </si>
  <si>
    <t>RPN and Action Priority (AP)</t>
  </si>
  <si>
    <t>RPN Formula</t>
  </si>
  <si>
    <t>RPN = S × O × D     (Range: 1 to 1,000)
RPN is calculated automatically in columns J and P of the template.
Use RPN to rank-order failure modes and identify the top risks first.</t>
  </si>
  <si>
    <t>Action Priority (AP)</t>
  </si>
  <si>
    <t>AP is the current industry standard (AIAG VDA 2019) — it supersedes fixed RPN threshold rules because RPN can 'mask' catastrophic failures (e.g. S=10, O=1, D=1 → RPN=10 looks safe, but the severity is lethal).
H (High)   → Action required before design release
M (Medium) → Action recommended; team should make effort
L (Low)    → At team's discretion
AP in this tool uses a teaching-level heuristic:
  H if S ≥ 9, or if RPN ≥ 200
  M if RPN ≥ 100 (and not H)
  L otherwise
For production use, refer to the full AIAG VDA 2019 lookup tables (Tables D1–D3).</t>
  </si>
  <si>
    <t>How to Complete the Template (step by step)</t>
  </si>
  <si>
    <t>Step 1 — Fill in the header</t>
  </si>
  <si>
    <t>Enter Project/Product Name, Team, Date, Mentor, and Institution in the yellow cells at the top of the DFMEA_Template sheet.</t>
  </si>
  <si>
    <t>Step 2 — List Components</t>
  </si>
  <si>
    <t>Column A: write the component or sub-system name (e.g. 'Piezo Disc Stack', 'Top Surface Tile', 'Wiring Harness'). One row per failure mode.</t>
  </si>
  <si>
    <t>Step 3 — Describe the Function</t>
  </si>
  <si>
    <t>Column B: state what the component is supposed to do and its performance target (e.g. 'Generate ≥ 5 V from a 70 kg footstep at 1 Hz').</t>
  </si>
  <si>
    <t>Step 4 — Identify Failure Modes</t>
  </si>
  <si>
    <t>Column C: what could go wrong with the component? (e.g. 'Piezo disc cracks under repeated loading'). Be specific — one mode per row.</t>
  </si>
  <si>
    <t>Step 5 — State the Effect</t>
  </si>
  <si>
    <t>Column D: what does the customer experience if this failure reaches them? (e.g. 'Tile generates no power; charging station goes dark').</t>
  </si>
  <si>
    <t>Step 6 — Rate Severity (S)</t>
  </si>
  <si>
    <t>Column E: enter 1–10 using the Severity scale. Severity is about the effect on the customer — it does NOT change based on how rare the failure is.</t>
  </si>
  <si>
    <t>Step 7 — Identify the Cause</t>
  </si>
  <si>
    <t>Column F: what root cause makes this failure mode happen? (e.g. 'Brittle ceramic material + no shock-absorbing layer below disc').</t>
  </si>
  <si>
    <t>Step 8 — Rate Occurrence (O)</t>
  </si>
  <si>
    <t>Piezo Disc Stack</t>
  </si>
  <si>
    <t>Column G: enter 1–10. Estimate how often this cause arises under normal use conditions across the expected product life.</t>
  </si>
  <si>
    <t>Convert foot-pressure (≥ 70 kg load at 1 Hz) into electrical energy; target output ≥ 5 V peak per step</t>
  </si>
  <si>
    <t>Step 9 — Describe Detection Controls</t>
  </si>
  <si>
    <t>Piezo disc cracks under repeated mechanical loading</t>
  </si>
  <si>
    <t>Column H: list current design controls that would catch this failure before it reaches the customer (e.g. 'Visual inspection of tile surface', 'Voltage output test after assembly').</t>
  </si>
  <si>
    <t>Tile generates zero power; charging station goes dark; user perceives product as broken</t>
  </si>
  <si>
    <t>Step 10 — Rate Detection (D)</t>
  </si>
  <si>
    <t>Column I: enter 1–10. Low D = good detection. If you have no controls, D = 9–10.</t>
  </si>
  <si>
    <t>Step 11 — Review RPN &amp; AP</t>
  </si>
  <si>
    <t>Columns J and K auto-calculate. Sort by RPN descending to prioritise. All rows with AP = H need a corrective action before design release.</t>
  </si>
  <si>
    <t>Brittle PZT ceramic with no cushioning layer between disc and hard substrate; stress concentration at disc edge</t>
  </si>
  <si>
    <t>Step 12 — Plan Actions</t>
  </si>
  <si>
    <t>Columns L, M, N: state what action will be taken, who owns it, and by when. Do not leave AP=H rows without an action.</t>
  </si>
  <si>
    <t>Step 13 — Record and Re-rate</t>
  </si>
  <si>
    <t>Visual inspection of tile surface during assembly; voltage output acceptance test post-assembly (pass/fail)</t>
  </si>
  <si>
    <t>After actions are implemented, fill Column O (Action Taken). Re-rate S, O, D in Columns for post-action RPN (Column P auto-calculates). S should not change unless the design intent changed. O and D should improve.</t>
  </si>
  <si>
    <t>Colour Legend</t>
  </si>
  <si>
    <t>Yellow cell — your input required</t>
  </si>
  <si>
    <t>Green cell  — example data (italic); replace with your project data</t>
  </si>
  <si>
    <t>Blue-tinted — auto-calculated formula (do not edit)</t>
  </si>
  <si>
    <t>Green-tinted— auto-calculated formula in example rows</t>
  </si>
  <si>
    <t>Introduce 3 mm rubber isolation pad between disc and steel substrate; reduce impact stress by ≥ 40%</t>
  </si>
  <si>
    <t>Design Lead</t>
  </si>
  <si>
    <t>Amber-tinted— note or instruction</t>
  </si>
  <si>
    <t>Before V2 prototype</t>
  </si>
  <si>
    <t>Rubber pad added in V2; drop test shows no cracking at 200,000 cycles</t>
  </si>
  <si>
    <t>Reference: AIAG &amp; VDA FMEA Handbook, 1st ed. (2019) · Pyzdek, The Six Sigma Handbook, 2nd ed. (2003)</t>
  </si>
  <si>
    <t>Wiring Harness (inter-tile cables)</t>
  </si>
  <si>
    <t>Carry generated DC voltage from piezo stack to rectifier board without loss; rated 50 V, 200 mA</t>
  </si>
  <si>
    <t>Wire insulation wears through at tile edge due to repeated flexing</t>
  </si>
  <si>
    <t>Short circuit → possible overcurrent → fire risk in embedded electronics; complete tile cluster failure</t>
  </si>
  <si>
    <t>Cable routing crosses sharp tile edge without grommet; cyclic bending exceeds insulation flex life</t>
  </si>
  <si>
    <t>Visual inspection during installation; no automated in-service monitoring in V1</t>
  </si>
  <si>
    <t>Add rubber grommets at all cable exit points; reroute cables through internal channel; add annual inspection checklist for facility manager</t>
  </si>
  <si>
    <t>Electrical Design</t>
  </si>
  <si>
    <t>V2 design freeze</t>
  </si>
  <si>
    <t>Grommets fitted; internal routing confirmed in CAD; inspection checklist drafted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</si>
</sst>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Calibri"/>
    </font>
    <font>
      <b/>
      <sz val="16.0"/>
      <color rgb="FFFFFFFF"/>
      <name val="Calibri"/>
    </font>
    <font/>
    <font>
      <i/>
      <sz val="11.0"/>
      <color rgb="FFFFFFFF"/>
      <name val="Calibri"/>
    </font>
    <font>
      <i/>
      <sz val="10.0"/>
      <color rgb="FFFFFFFF"/>
      <name val="Calibri"/>
    </font>
    <font>
      <b/>
      <sz val="11.0"/>
      <color rgb="FFFFFFFF"/>
      <name val="Calibri"/>
    </font>
    <font>
      <i/>
      <sz val="9.0"/>
      <color rgb="FF7F6000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1F3864"/>
      <name val="Calibri"/>
    </font>
    <font>
      <i/>
      <sz val="10.0"/>
      <color theme="1"/>
      <name val="Calibri"/>
    </font>
    <font>
      <i/>
      <sz val="10.0"/>
      <color rgb="FF555555"/>
      <name val="Calibri"/>
    </font>
    <font>
      <b/>
      <sz val="10.0"/>
      <color rgb="FF1F3864"/>
      <name val="Calibri"/>
    </font>
    <font>
      <sz val="11.0"/>
      <color theme="1"/>
      <name val="Calibri"/>
    </font>
    <font>
      <b/>
      <i/>
      <sz val="10.0"/>
      <color theme="1"/>
      <name val="Calibri"/>
    </font>
    <font>
      <i/>
      <sz val="9.0"/>
      <color rgb="FF888888"/>
      <name val="Calibri"/>
    </font>
    <font>
      <color rgb="FFEFEFEF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065A82"/>
        <bgColor rgb="FF065A82"/>
      </patternFill>
    </fill>
    <fill>
      <patternFill patternType="solid">
        <fgColor rgb="FFFFF8E7"/>
        <bgColor rgb="FFFFF8E7"/>
      </patternFill>
    </fill>
    <fill>
      <patternFill patternType="solid">
        <fgColor rgb="FFF0F7FA"/>
        <bgColor rgb="FFF0F7FA"/>
      </patternFill>
    </fill>
    <fill>
      <patternFill patternType="solid">
        <fgColor rgb="FFFFFFFF"/>
        <bgColor rgb="FFFFFFFF"/>
      </patternFill>
    </fill>
    <fill>
      <patternFill patternType="solid">
        <fgColor rgb="FF1C7293"/>
        <bgColor rgb="FF1C7293"/>
      </patternFill>
    </fill>
    <fill>
      <patternFill patternType="solid">
        <fgColor rgb="FFFFFACD"/>
        <bgColor rgb="FFFFFACD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CCC"/>
        <bgColor rgb="FFFFCCC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left" vertical="center"/>
    </xf>
    <xf borderId="4" fillId="4" fontId="7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6" fillId="5" fontId="8" numFmtId="0" xfId="0" applyAlignment="1" applyBorder="1" applyFill="1" applyFont="1">
      <alignment horizontal="left" shrinkToFit="0" vertical="top" wrapText="1"/>
    </xf>
    <xf borderId="7" fillId="0" fontId="3" numFmtId="0" xfId="0" applyBorder="1" applyFont="1"/>
    <xf borderId="6" fillId="6" fontId="9" numFmtId="0" xfId="0" applyAlignment="1" applyBorder="1" applyFill="1" applyFont="1">
      <alignment horizontal="left" shrinkToFit="0" vertical="top" wrapText="1"/>
    </xf>
    <xf borderId="4" fillId="7" fontId="10" numFmtId="0" xfId="0" applyAlignment="1" applyBorder="1" applyFill="1" applyFont="1">
      <alignment horizontal="left" vertical="center"/>
    </xf>
    <xf borderId="4" fillId="8" fontId="11" numFmtId="0" xfId="0" applyAlignment="1" applyBorder="1" applyFill="1" applyFont="1">
      <alignment horizontal="left" vertical="center"/>
    </xf>
    <xf borderId="1" fillId="7" fontId="10" numFmtId="0" xfId="0" applyAlignment="1" applyBorder="1" applyFill="1" applyFont="1">
      <alignment horizontal="left" vertical="center"/>
    </xf>
    <xf borderId="8" fillId="9" fontId="12" numFmtId="0" xfId="0" applyAlignment="1" applyBorder="1" applyFill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left" shrinkToFit="0" vertical="center" wrapText="1"/>
    </xf>
    <xf borderId="4" fillId="10" fontId="13" numFmtId="0" xfId="0" applyAlignment="1" applyBorder="1" applyFill="1" applyFont="1">
      <alignment horizontal="left" vertical="center"/>
    </xf>
    <xf borderId="4" fillId="5" fontId="14" numFmtId="0" xfId="0" applyAlignment="1" applyBorder="1" applyFill="1" applyFont="1">
      <alignment horizontal="left" vertical="center"/>
    </xf>
    <xf borderId="4" fillId="3" fontId="6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horizontal="left" shrinkToFit="0" vertical="center" wrapText="1"/>
    </xf>
    <xf borderId="8" fillId="9" fontId="15" numFmtId="0" xfId="0" applyAlignment="1" applyBorder="1" applyFill="1" applyFont="1">
      <alignment horizontal="center" shrinkToFit="0" vertical="center" wrapText="1"/>
    </xf>
    <xf borderId="8" fillId="8" fontId="9" numFmtId="0" xfId="0" applyAlignment="1" applyBorder="1" applyFill="1" applyFont="1">
      <alignment horizontal="left" shrinkToFit="0" vertical="center" wrapText="1"/>
    </xf>
    <xf borderId="8" fillId="8" fontId="9" numFmtId="0" xfId="0" applyAlignment="1" applyBorder="1" applyFill="1" applyFont="1">
      <alignment horizontal="left" readingOrder="0" shrinkToFit="0" vertical="center" wrapText="1"/>
    </xf>
    <xf borderId="8" fillId="11" fontId="8" numFmtId="0" xfId="0" applyAlignment="1" applyBorder="1" applyFill="1" applyFont="1">
      <alignment horizontal="center" vertical="center"/>
    </xf>
    <xf borderId="8" fillId="8" fontId="9" numFmtId="0" xfId="0" applyAlignment="1" applyBorder="1" applyFill="1" applyFont="1">
      <alignment horizontal="center" readingOrder="0" shrinkToFit="0" vertical="center" wrapText="1"/>
    </xf>
    <xf borderId="8" fillId="8" fontId="9" numFmtId="0" xfId="0" applyAlignment="1" applyBorder="1" applyFill="1" applyFont="1">
      <alignment horizontal="center" shrinkToFit="0" vertical="center" wrapText="1"/>
    </xf>
    <xf borderId="8" fillId="10" fontId="13" numFmtId="0" xfId="0" applyAlignment="1" applyBorder="1" applyFill="1" applyFont="1">
      <alignment horizontal="left" shrinkToFit="0" vertical="center" wrapText="1"/>
    </xf>
    <xf borderId="8" fillId="10" fontId="13" numFmtId="0" xfId="0" applyAlignment="1" applyBorder="1" applyFill="1" applyFont="1">
      <alignment horizontal="center" shrinkToFit="0" vertical="center" wrapText="1"/>
    </xf>
    <xf borderId="8" fillId="8" fontId="16" numFmtId="0" xfId="0" applyBorder="1" applyFill="1" applyFont="1"/>
    <xf borderId="4" fillId="0" fontId="9" numFmtId="0" xfId="0" applyAlignment="1" applyBorder="1" applyFont="1">
      <alignment horizontal="left" shrinkToFit="0" vertical="center" wrapText="1"/>
    </xf>
    <xf borderId="8" fillId="12" fontId="17" numFmtId="0" xfId="0" applyAlignment="1" applyBorder="1" applyFill="1" applyFont="1">
      <alignment horizontal="center" vertical="center"/>
    </xf>
    <xf borderId="8" fillId="10" fontId="16" numFmtId="0" xfId="0" applyBorder="1" applyFill="1" applyFont="1"/>
    <xf borderId="8" fillId="11" fontId="16" numFmtId="0" xfId="0" applyBorder="1" applyFill="1" applyFont="1"/>
    <xf borderId="8" fillId="12" fontId="16" numFmtId="0" xfId="0" applyBorder="1" applyFill="1" applyFont="1"/>
    <xf borderId="8" fillId="13" fontId="17" numFmtId="0" xfId="0" applyAlignment="1" applyBorder="1" applyFill="1" applyFont="1">
      <alignment horizontal="center" vertical="center"/>
    </xf>
    <xf borderId="8" fillId="4" fontId="16" numFmtId="0" xfId="0" applyBorder="1" applyFill="1" applyFont="1"/>
    <xf borderId="0" fillId="0" fontId="18" numFmtId="0" xfId="0" applyFont="1"/>
    <xf borderId="8" fillId="10" fontId="13" numFmtId="0" xfId="0" applyAlignment="1" applyBorder="1" applyFill="1" applyFont="1">
      <alignment horizontal="center" readingOrder="0" shrinkToFit="0" vertical="center" wrapText="1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70.0"/>
    <col customWidth="1" min="4" max="4" width="18.0"/>
    <col customWidth="1" min="5" max="26" width="8.86"/>
  </cols>
  <sheetData>
    <row r="1" ht="36.0" customHeight="1">
      <c r="B1" s="2" t="s">
        <v>1</v>
      </c>
      <c r="C1" s="3"/>
      <c r="D1" s="4"/>
    </row>
    <row r="2" ht="19.5" customHeight="1">
      <c r="B2" s="5" t="s">
        <v>3</v>
      </c>
      <c r="C2" s="3"/>
      <c r="D2" s="4"/>
    </row>
    <row r="4" ht="21.75" customHeight="1">
      <c r="B4" s="7" t="s">
        <v>5</v>
      </c>
      <c r="C4" s="3"/>
      <c r="D4" s="4"/>
    </row>
    <row r="5" ht="48.0" customHeight="1">
      <c r="B5" s="10" t="s">
        <v>8</v>
      </c>
      <c r="C5" s="12" t="s">
        <v>9</v>
      </c>
    </row>
    <row r="6" ht="48.0" customHeight="1">
      <c r="B6" s="10" t="s">
        <v>11</v>
      </c>
      <c r="C6" s="12" t="s">
        <v>12</v>
      </c>
    </row>
    <row r="8" ht="21.75" customHeight="1">
      <c r="B8" s="7" t="s">
        <v>13</v>
      </c>
      <c r="C8" s="3"/>
      <c r="D8" s="4"/>
    </row>
    <row r="9" ht="19.5" customHeight="1">
      <c r="B9" s="15" t="s">
        <v>15</v>
      </c>
      <c r="C9" s="3"/>
      <c r="D9" s="4"/>
    </row>
    <row r="10" ht="15.75" customHeight="1">
      <c r="B10" s="16" t="s">
        <v>17</v>
      </c>
      <c r="C10" s="16" t="s">
        <v>18</v>
      </c>
    </row>
    <row r="11" ht="18.0" customHeight="1">
      <c r="B11" s="17" t="s">
        <v>20</v>
      </c>
      <c r="C11" s="18" t="s">
        <v>21</v>
      </c>
    </row>
    <row r="12" ht="18.0" customHeight="1">
      <c r="B12" s="17" t="s">
        <v>22</v>
      </c>
      <c r="C12" s="18" t="s">
        <v>24</v>
      </c>
    </row>
    <row r="13" ht="18.0" customHeight="1">
      <c r="B13" s="17" t="s">
        <v>25</v>
      </c>
      <c r="C13" s="18" t="s">
        <v>27</v>
      </c>
    </row>
    <row r="14" ht="18.0" customHeight="1">
      <c r="B14" s="17" t="s">
        <v>29</v>
      </c>
      <c r="C14" s="18" t="s">
        <v>31</v>
      </c>
    </row>
    <row r="15" ht="18.0" customHeight="1">
      <c r="B15" s="17" t="s">
        <v>32</v>
      </c>
      <c r="C15" s="18" t="s">
        <v>33</v>
      </c>
    </row>
    <row r="16" ht="21.75" customHeight="1">
      <c r="B16" s="22" t="s">
        <v>35</v>
      </c>
      <c r="C16" s="3"/>
      <c r="D16" s="4"/>
    </row>
    <row r="18" ht="19.5" customHeight="1">
      <c r="B18" s="15" t="s">
        <v>37</v>
      </c>
      <c r="C18" s="3"/>
      <c r="D18" s="4"/>
    </row>
    <row r="19" ht="15.75" customHeight="1">
      <c r="B19" s="16" t="s">
        <v>17</v>
      </c>
      <c r="C19" s="16" t="s">
        <v>18</v>
      </c>
    </row>
    <row r="20" ht="18.0" customHeight="1">
      <c r="B20" s="17" t="s">
        <v>20</v>
      </c>
      <c r="C20" s="18" t="s">
        <v>48</v>
      </c>
    </row>
    <row r="21" ht="18.0" customHeight="1">
      <c r="B21" s="17" t="s">
        <v>22</v>
      </c>
      <c r="C21" s="18" t="s">
        <v>53</v>
      </c>
    </row>
    <row r="22" ht="18.0" customHeight="1">
      <c r="B22" s="17" t="s">
        <v>25</v>
      </c>
      <c r="C22" s="18" t="s">
        <v>57</v>
      </c>
    </row>
    <row r="23" ht="18.0" customHeight="1">
      <c r="B23" s="17" t="s">
        <v>29</v>
      </c>
      <c r="C23" s="18" t="s">
        <v>61</v>
      </c>
    </row>
    <row r="24" ht="18.0" customHeight="1">
      <c r="B24" s="17" t="s">
        <v>32</v>
      </c>
      <c r="C24" s="18" t="s">
        <v>64</v>
      </c>
    </row>
    <row r="25" ht="21.75" customHeight="1">
      <c r="B25" s="22" t="s">
        <v>65</v>
      </c>
      <c r="C25" s="3"/>
      <c r="D25" s="4"/>
    </row>
    <row r="26" ht="15.75" customHeight="1"/>
    <row r="27" ht="19.5" customHeight="1">
      <c r="B27" s="15" t="s">
        <v>66</v>
      </c>
      <c r="C27" s="3"/>
      <c r="D27" s="4"/>
    </row>
    <row r="28" ht="15.75" customHeight="1">
      <c r="B28" s="16" t="s">
        <v>17</v>
      </c>
      <c r="C28" s="16" t="s">
        <v>18</v>
      </c>
    </row>
    <row r="29" ht="18.0" customHeight="1">
      <c r="B29" s="17" t="s">
        <v>20</v>
      </c>
      <c r="C29" s="18" t="s">
        <v>68</v>
      </c>
    </row>
    <row r="30" ht="18.0" customHeight="1">
      <c r="B30" s="17" t="s">
        <v>22</v>
      </c>
      <c r="C30" s="18" t="s">
        <v>69</v>
      </c>
    </row>
    <row r="31" ht="18.0" customHeight="1">
      <c r="B31" s="17" t="s">
        <v>25</v>
      </c>
      <c r="C31" s="18" t="s">
        <v>70</v>
      </c>
    </row>
    <row r="32" ht="18.0" customHeight="1">
      <c r="B32" s="17" t="s">
        <v>29</v>
      </c>
      <c r="C32" s="18" t="s">
        <v>71</v>
      </c>
    </row>
    <row r="33" ht="18.0" customHeight="1">
      <c r="B33" s="17" t="s">
        <v>32</v>
      </c>
      <c r="C33" s="18" t="s">
        <v>72</v>
      </c>
    </row>
    <row r="34" ht="21.75" customHeight="1">
      <c r="B34" s="22" t="s">
        <v>73</v>
      </c>
      <c r="C34" s="3"/>
      <c r="D34" s="4"/>
    </row>
    <row r="35" ht="15.75" customHeight="1"/>
    <row r="36" ht="21.75" customHeight="1">
      <c r="B36" s="7" t="s">
        <v>74</v>
      </c>
      <c r="C36" s="3"/>
      <c r="D36" s="4"/>
    </row>
    <row r="37" ht="48.0" customHeight="1">
      <c r="B37" s="10" t="s">
        <v>75</v>
      </c>
      <c r="C37" s="12" t="s">
        <v>76</v>
      </c>
    </row>
    <row r="38" ht="48.0" customHeight="1">
      <c r="B38" s="10" t="s">
        <v>77</v>
      </c>
      <c r="C38" s="12" t="s">
        <v>78</v>
      </c>
    </row>
    <row r="39" ht="15.75" customHeight="1"/>
    <row r="40" ht="21.75" customHeight="1">
      <c r="B40" s="7" t="s">
        <v>79</v>
      </c>
      <c r="C40" s="3"/>
      <c r="D40" s="4"/>
    </row>
    <row r="41" ht="48.0" customHeight="1">
      <c r="B41" s="10" t="s">
        <v>80</v>
      </c>
      <c r="C41" s="12" t="s">
        <v>81</v>
      </c>
    </row>
    <row r="42" ht="48.0" customHeight="1">
      <c r="B42" s="10" t="s">
        <v>82</v>
      </c>
      <c r="C42" s="12" t="s">
        <v>83</v>
      </c>
    </row>
    <row r="43" ht="48.0" customHeight="1">
      <c r="B43" s="10" t="s">
        <v>84</v>
      </c>
      <c r="C43" s="12" t="s">
        <v>85</v>
      </c>
    </row>
    <row r="44" ht="48.0" customHeight="1">
      <c r="B44" s="10" t="s">
        <v>86</v>
      </c>
      <c r="C44" s="12" t="s">
        <v>87</v>
      </c>
    </row>
    <row r="45" ht="48.0" customHeight="1">
      <c r="B45" s="10" t="s">
        <v>88</v>
      </c>
      <c r="C45" s="12" t="s">
        <v>89</v>
      </c>
    </row>
    <row r="46" ht="48.0" customHeight="1">
      <c r="B46" s="10" t="s">
        <v>90</v>
      </c>
      <c r="C46" s="12" t="s">
        <v>91</v>
      </c>
    </row>
    <row r="47" ht="48.0" customHeight="1">
      <c r="B47" s="10" t="s">
        <v>92</v>
      </c>
      <c r="C47" s="12" t="s">
        <v>93</v>
      </c>
    </row>
    <row r="48" ht="48.0" customHeight="1">
      <c r="B48" s="10" t="s">
        <v>94</v>
      </c>
      <c r="C48" s="12" t="s">
        <v>96</v>
      </c>
    </row>
    <row r="49" ht="48.0" customHeight="1">
      <c r="B49" s="10" t="s">
        <v>98</v>
      </c>
      <c r="C49" s="12" t="s">
        <v>100</v>
      </c>
    </row>
    <row r="50" ht="48.0" customHeight="1">
      <c r="B50" s="10" t="s">
        <v>102</v>
      </c>
      <c r="C50" s="12" t="s">
        <v>103</v>
      </c>
    </row>
    <row r="51" ht="48.0" customHeight="1">
      <c r="B51" s="10" t="s">
        <v>104</v>
      </c>
      <c r="C51" s="12" t="s">
        <v>105</v>
      </c>
    </row>
    <row r="52" ht="48.0" customHeight="1">
      <c r="B52" s="10" t="s">
        <v>107</v>
      </c>
      <c r="C52" s="12" t="s">
        <v>108</v>
      </c>
    </row>
    <row r="53" ht="48.0" customHeight="1">
      <c r="B53" s="10" t="s">
        <v>109</v>
      </c>
      <c r="C53" s="12" t="s">
        <v>111</v>
      </c>
    </row>
    <row r="54" ht="15.75" customHeight="1"/>
    <row r="55" ht="21.75" customHeight="1">
      <c r="B55" s="7" t="s">
        <v>112</v>
      </c>
      <c r="C55" s="3"/>
      <c r="D55" s="4"/>
    </row>
    <row r="56" ht="18.0" customHeight="1">
      <c r="B56" s="31"/>
      <c r="C56" s="32" t="s">
        <v>113</v>
      </c>
      <c r="D56" s="11"/>
    </row>
    <row r="57" ht="18.0" customHeight="1">
      <c r="B57" s="34"/>
      <c r="C57" s="32" t="s">
        <v>114</v>
      </c>
      <c r="D57" s="11"/>
    </row>
    <row r="58" ht="18.0" customHeight="1">
      <c r="B58" s="35"/>
      <c r="C58" s="32" t="s">
        <v>115</v>
      </c>
      <c r="D58" s="11"/>
    </row>
    <row r="59" ht="18.0" customHeight="1">
      <c r="B59" s="36"/>
      <c r="C59" s="32" t="s">
        <v>116</v>
      </c>
      <c r="D59" s="11"/>
    </row>
    <row r="60" ht="18.0" customHeight="1">
      <c r="B60" s="38"/>
      <c r="C60" s="32" t="s">
        <v>119</v>
      </c>
      <c r="D60" s="11"/>
    </row>
    <row r="61" ht="15.75" customHeight="1"/>
    <row r="62" ht="15.75" customHeight="1">
      <c r="B62" s="39" t="s">
        <v>122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D1"/>
    <mergeCell ref="B2:D2"/>
    <mergeCell ref="B4:D4"/>
    <mergeCell ref="B8:D8"/>
    <mergeCell ref="B9:D9"/>
    <mergeCell ref="B16:D16"/>
    <mergeCell ref="B18:D18"/>
    <mergeCell ref="C57:D57"/>
    <mergeCell ref="C58:D58"/>
    <mergeCell ref="C59:D59"/>
    <mergeCell ref="C60:D60"/>
    <mergeCell ref="B62:D62"/>
    <mergeCell ref="B25:D25"/>
    <mergeCell ref="B27:D27"/>
    <mergeCell ref="B34:D34"/>
    <mergeCell ref="B36:D36"/>
    <mergeCell ref="B40:D40"/>
    <mergeCell ref="B55:D55"/>
    <mergeCell ref="C56:D5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22.0"/>
    <col customWidth="1" min="4" max="4" width="26.0"/>
    <col customWidth="1" min="5" max="5" width="7.0"/>
    <col customWidth="1" min="6" max="6" width="26.0"/>
    <col customWidth="1" min="7" max="7" width="7.0"/>
    <col customWidth="1" min="8" max="8" width="24.0"/>
    <col customWidth="1" min="9" max="10" width="7.0"/>
    <col customWidth="1" min="11" max="11" width="8.0"/>
    <col customWidth="1" min="12" max="12" width="24.0"/>
    <col customWidth="1" min="13" max="13" width="14.0"/>
    <col customWidth="1" min="14" max="14" width="12.0"/>
    <col customWidth="1" min="15" max="15" width="22.0"/>
    <col customWidth="1" min="16" max="18" width="7.0"/>
    <col customWidth="1" min="19" max="19" width="8.0"/>
    <col customWidth="1" min="20" max="26" width="8.86"/>
  </cols>
  <sheetData>
    <row r="1" ht="31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18.0" customHeight="1">
      <c r="A2" s="6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ht="19.5" customHeight="1">
      <c r="A3" s="8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1"/>
    </row>
    <row r="4" ht="18.0" customHeight="1">
      <c r="A4" s="13" t="s">
        <v>10</v>
      </c>
      <c r="B4" s="9"/>
      <c r="C4" s="11"/>
      <c r="D4" s="1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1"/>
    </row>
    <row r="5" ht="18.0" customHeight="1">
      <c r="A5" s="13" t="s">
        <v>14</v>
      </c>
      <c r="B5" s="9"/>
      <c r="C5" s="11"/>
      <c r="D5" s="14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1"/>
    </row>
    <row r="6" ht="18.0" customHeight="1">
      <c r="A6" s="13" t="s">
        <v>16</v>
      </c>
      <c r="B6" s="9"/>
      <c r="C6" s="11"/>
      <c r="D6" s="14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1"/>
    </row>
    <row r="7" ht="18.0" customHeight="1">
      <c r="A7" s="13" t="s">
        <v>19</v>
      </c>
      <c r="B7" s="9"/>
      <c r="C7" s="11"/>
      <c r="D7" s="14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1"/>
    </row>
    <row r="8" ht="18.0" customHeight="1">
      <c r="A8" s="13" t="s">
        <v>23</v>
      </c>
      <c r="B8" s="9"/>
      <c r="C8" s="11"/>
      <c r="D8" s="14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1"/>
    </row>
    <row r="9" ht="18.0" customHeight="1">
      <c r="A9" s="13" t="s">
        <v>28</v>
      </c>
      <c r="B9" s="9"/>
      <c r="C9" s="11"/>
      <c r="D9" s="20" t="s">
        <v>30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1"/>
    </row>
    <row r="11" ht="19.5" customHeight="1">
      <c r="A11" s="21" t="s">
        <v>34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1"/>
    </row>
    <row r="12" ht="36.0" customHeight="1">
      <c r="A12" s="23" t="s">
        <v>38</v>
      </c>
      <c r="B12" s="23" t="s">
        <v>39</v>
      </c>
      <c r="C12" s="23" t="s">
        <v>40</v>
      </c>
      <c r="D12" s="23" t="s">
        <v>41</v>
      </c>
      <c r="E12" s="23" t="s">
        <v>42</v>
      </c>
      <c r="F12" s="23" t="s">
        <v>43</v>
      </c>
      <c r="G12" s="23" t="s">
        <v>44</v>
      </c>
      <c r="H12" s="23" t="s">
        <v>45</v>
      </c>
      <c r="I12" s="23" t="s">
        <v>46</v>
      </c>
      <c r="J12" s="23" t="s">
        <v>47</v>
      </c>
      <c r="K12" s="23" t="s">
        <v>50</v>
      </c>
      <c r="L12" s="23" t="s">
        <v>51</v>
      </c>
      <c r="M12" s="23" t="s">
        <v>52</v>
      </c>
      <c r="N12" s="23" t="s">
        <v>54</v>
      </c>
      <c r="O12" s="23" t="s">
        <v>55</v>
      </c>
      <c r="P12" s="23" t="s">
        <v>56</v>
      </c>
      <c r="Q12" s="23" t="s">
        <v>58</v>
      </c>
      <c r="R12" s="23" t="s">
        <v>59</v>
      </c>
      <c r="S12" s="23" t="s">
        <v>60</v>
      </c>
    </row>
    <row r="13" ht="21.75" customHeight="1">
      <c r="A13" s="8" t="s">
        <v>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1"/>
    </row>
    <row r="14" ht="39.75" customHeight="1">
      <c r="A14" s="24"/>
      <c r="B14" s="24"/>
      <c r="C14" s="24"/>
      <c r="D14" s="24"/>
      <c r="E14" s="25"/>
      <c r="F14" s="24"/>
      <c r="G14" s="25"/>
      <c r="H14" s="24"/>
      <c r="I14" s="25"/>
      <c r="J14" s="26">
        <f t="shared" ref="J14:J21" si="1">E14*G14*I14</f>
        <v>0</v>
      </c>
      <c r="K14" s="26" t="str">
        <f t="shared" ref="K14:K21" si="2">IF(E14&gt;=9,"H",IF(J14&gt;=200,"H",IF(J14&gt;=100,"M","L")))</f>
        <v>L</v>
      </c>
      <c r="L14" s="24"/>
      <c r="M14" s="24"/>
      <c r="N14" s="24"/>
      <c r="O14" s="24"/>
      <c r="P14" s="27"/>
      <c r="Q14" s="27"/>
      <c r="R14" s="27"/>
      <c r="S14" s="26" t="str">
        <f t="shared" ref="S14:S21" si="3">IF(AND(P14&lt;&gt;"",Q14&lt;&gt;"",R14&lt;&gt;""),P14*Q14*R14,"")</f>
        <v/>
      </c>
    </row>
    <row r="15" ht="39.75" customHeight="1">
      <c r="A15" s="24"/>
      <c r="B15" s="24"/>
      <c r="C15" s="24"/>
      <c r="D15" s="24"/>
      <c r="E15" s="24"/>
      <c r="F15" s="24"/>
      <c r="G15" s="24"/>
      <c r="H15" s="24"/>
      <c r="I15" s="24"/>
      <c r="J15" s="26">
        <f t="shared" si="1"/>
        <v>0</v>
      </c>
      <c r="K15" s="26" t="str">
        <f t="shared" si="2"/>
        <v>L</v>
      </c>
      <c r="L15" s="24"/>
      <c r="M15" s="24"/>
      <c r="N15" s="24"/>
      <c r="O15" s="24"/>
      <c r="P15" s="28"/>
      <c r="Q15" s="28"/>
      <c r="R15" s="28"/>
      <c r="S15" s="26" t="str">
        <f t="shared" si="3"/>
        <v/>
      </c>
    </row>
    <row r="16" ht="39.75" customHeight="1">
      <c r="A16" s="24"/>
      <c r="B16" s="24"/>
      <c r="C16" s="24"/>
      <c r="D16" s="24"/>
      <c r="E16" s="24"/>
      <c r="F16" s="24"/>
      <c r="G16" s="24"/>
      <c r="H16" s="24"/>
      <c r="I16" s="24"/>
      <c r="J16" s="26">
        <f t="shared" si="1"/>
        <v>0</v>
      </c>
      <c r="K16" s="26" t="str">
        <f t="shared" si="2"/>
        <v>L</v>
      </c>
      <c r="L16" s="24"/>
      <c r="M16" s="24"/>
      <c r="N16" s="24"/>
      <c r="O16" s="24"/>
      <c r="P16" s="28"/>
      <c r="Q16" s="28"/>
      <c r="R16" s="28"/>
      <c r="S16" s="26" t="str">
        <f t="shared" si="3"/>
        <v/>
      </c>
    </row>
    <row r="17" ht="39.75" customHeight="1">
      <c r="A17" s="24"/>
      <c r="B17" s="24"/>
      <c r="C17" s="24"/>
      <c r="D17" s="24"/>
      <c r="E17" s="24"/>
      <c r="F17" s="24"/>
      <c r="G17" s="24"/>
      <c r="H17" s="24"/>
      <c r="I17" s="24"/>
      <c r="J17" s="26">
        <f t="shared" si="1"/>
        <v>0</v>
      </c>
      <c r="K17" s="26" t="str">
        <f t="shared" si="2"/>
        <v>L</v>
      </c>
      <c r="L17" s="24"/>
      <c r="M17" s="24"/>
      <c r="N17" s="24"/>
      <c r="O17" s="24"/>
      <c r="P17" s="28"/>
      <c r="Q17" s="28"/>
      <c r="R17" s="28"/>
      <c r="S17" s="26" t="str">
        <f t="shared" si="3"/>
        <v/>
      </c>
    </row>
    <row r="18" ht="39.75" customHeight="1">
      <c r="A18" s="24"/>
      <c r="B18" s="24"/>
      <c r="C18" s="24"/>
      <c r="D18" s="24"/>
      <c r="E18" s="24"/>
      <c r="F18" s="24"/>
      <c r="G18" s="24"/>
      <c r="H18" s="24"/>
      <c r="I18" s="24"/>
      <c r="J18" s="26">
        <f t="shared" si="1"/>
        <v>0</v>
      </c>
      <c r="K18" s="26" t="str">
        <f t="shared" si="2"/>
        <v>L</v>
      </c>
      <c r="L18" s="24"/>
      <c r="M18" s="24"/>
      <c r="N18" s="24"/>
      <c r="O18" s="24"/>
      <c r="P18" s="28"/>
      <c r="Q18" s="28"/>
      <c r="R18" s="28"/>
      <c r="S18" s="26" t="str">
        <f t="shared" si="3"/>
        <v/>
      </c>
    </row>
    <row r="19" ht="39.75" customHeight="1">
      <c r="A19" s="24"/>
      <c r="B19" s="24"/>
      <c r="C19" s="24"/>
      <c r="D19" s="24"/>
      <c r="E19" s="24"/>
      <c r="F19" s="24"/>
      <c r="G19" s="24"/>
      <c r="H19" s="24"/>
      <c r="I19" s="24"/>
      <c r="J19" s="26">
        <f t="shared" si="1"/>
        <v>0</v>
      </c>
      <c r="K19" s="26" t="str">
        <f t="shared" si="2"/>
        <v>L</v>
      </c>
      <c r="L19" s="24"/>
      <c r="M19" s="24"/>
      <c r="N19" s="24"/>
      <c r="O19" s="24"/>
      <c r="P19" s="28"/>
      <c r="Q19" s="28"/>
      <c r="R19" s="28"/>
      <c r="S19" s="26" t="str">
        <f t="shared" si="3"/>
        <v/>
      </c>
    </row>
    <row r="20" ht="39.75" customHeight="1">
      <c r="A20" s="24"/>
      <c r="B20" s="24"/>
      <c r="C20" s="24"/>
      <c r="D20" s="24"/>
      <c r="E20" s="24"/>
      <c r="F20" s="24"/>
      <c r="G20" s="24"/>
      <c r="H20" s="24"/>
      <c r="I20" s="24"/>
      <c r="J20" s="26">
        <f t="shared" si="1"/>
        <v>0</v>
      </c>
      <c r="K20" s="26" t="str">
        <f t="shared" si="2"/>
        <v>L</v>
      </c>
      <c r="L20" s="24"/>
      <c r="M20" s="24"/>
      <c r="N20" s="24"/>
      <c r="O20" s="24"/>
      <c r="P20" s="28"/>
      <c r="Q20" s="28"/>
      <c r="R20" s="28"/>
      <c r="S20" s="26" t="str">
        <f t="shared" si="3"/>
        <v/>
      </c>
    </row>
    <row r="21" ht="39.75" customHeight="1">
      <c r="A21" s="24"/>
      <c r="B21" s="24"/>
      <c r="C21" s="24"/>
      <c r="D21" s="24"/>
      <c r="E21" s="24"/>
      <c r="F21" s="24"/>
      <c r="G21" s="24"/>
      <c r="H21" s="24"/>
      <c r="I21" s="24"/>
      <c r="J21" s="26">
        <f t="shared" si="1"/>
        <v>0</v>
      </c>
      <c r="K21" s="26" t="str">
        <f t="shared" si="2"/>
        <v>L</v>
      </c>
      <c r="L21" s="24"/>
      <c r="M21" s="24"/>
      <c r="N21" s="24"/>
      <c r="O21" s="24"/>
      <c r="P21" s="28"/>
      <c r="Q21" s="28"/>
      <c r="R21" s="28"/>
      <c r="S21" s="26" t="str">
        <f t="shared" si="3"/>
        <v/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S1"/>
    <mergeCell ref="A2:S2"/>
    <mergeCell ref="A3:S3"/>
    <mergeCell ref="A4:C4"/>
    <mergeCell ref="D4:S4"/>
    <mergeCell ref="A5:C5"/>
    <mergeCell ref="D5:S5"/>
    <mergeCell ref="D9:S9"/>
    <mergeCell ref="A11:S11"/>
    <mergeCell ref="A13:S13"/>
    <mergeCell ref="A6:C6"/>
    <mergeCell ref="D6:S6"/>
    <mergeCell ref="A7:C7"/>
    <mergeCell ref="D7:S7"/>
    <mergeCell ref="A8:C8"/>
    <mergeCell ref="D8:S8"/>
    <mergeCell ref="A9:C9"/>
  </mergeCells>
  <dataValidations>
    <dataValidation type="decimal" allowBlank="1" showInputMessage="1" showErrorMessage="1" prompt="Invalid Score - Enter a whole number from 1 to 10." sqref="E14:E21 G14:G21 I14:I21">
      <formula1>1.0</formula1>
      <formula2>10.0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22.0"/>
    <col customWidth="1" min="4" max="4" width="26.0"/>
    <col customWidth="1" min="5" max="5" width="7.0"/>
    <col customWidth="1" min="6" max="6" width="26.0"/>
    <col customWidth="1" min="7" max="7" width="7.0"/>
    <col customWidth="1" min="8" max="8" width="24.0"/>
    <col customWidth="1" min="9" max="10" width="7.0"/>
    <col customWidth="1" min="11" max="11" width="8.0"/>
    <col customWidth="1" min="12" max="12" width="24.0"/>
    <col customWidth="1" min="13" max="13" width="14.0"/>
    <col customWidth="1" min="14" max="14" width="12.0"/>
    <col customWidth="1" min="15" max="15" width="22.0"/>
    <col customWidth="1" min="16" max="18" width="7.0"/>
    <col customWidth="1" min="19" max="19" width="8.0"/>
    <col customWidth="1" min="20" max="26" width="8.86"/>
  </cols>
  <sheetData>
    <row r="1" ht="31.5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ht="18.0" customHeight="1">
      <c r="A2" s="6" t="s">
        <v>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ht="21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1"/>
    </row>
    <row r="4" ht="18.0" customHeight="1">
      <c r="A4" s="13" t="s">
        <v>10</v>
      </c>
      <c r="B4" s="9"/>
      <c r="C4" s="11"/>
      <c r="D4" s="19" t="s">
        <v>26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1"/>
    </row>
    <row r="5" ht="18.0" customHeight="1">
      <c r="A5" s="13" t="s">
        <v>14</v>
      </c>
      <c r="B5" s="9"/>
      <c r="C5" s="11"/>
      <c r="D5" s="19" t="s">
        <v>36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1"/>
    </row>
    <row r="6" ht="18.0" customHeight="1">
      <c r="A6" s="13" t="s">
        <v>16</v>
      </c>
      <c r="B6" s="9"/>
      <c r="C6" s="11"/>
      <c r="D6" s="19" t="s">
        <v>49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1"/>
    </row>
    <row r="7" ht="18.0" customHeight="1">
      <c r="A7" s="13" t="s">
        <v>19</v>
      </c>
      <c r="B7" s="9"/>
      <c r="C7" s="11"/>
      <c r="D7" s="19" t="s">
        <v>63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1"/>
    </row>
    <row r="8" ht="18.0" customHeight="1">
      <c r="A8" s="13" t="s">
        <v>23</v>
      </c>
      <c r="B8" s="9"/>
      <c r="C8" s="11"/>
      <c r="D8" s="19" t="s">
        <v>67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1"/>
    </row>
    <row r="9" ht="18.0" customHeight="1">
      <c r="A9" s="13" t="s">
        <v>28</v>
      </c>
      <c r="B9" s="9"/>
      <c r="C9" s="11"/>
      <c r="D9" s="19" t="s">
        <v>30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1"/>
    </row>
    <row r="11" ht="19.5" customHeight="1">
      <c r="A11" s="21" t="s">
        <v>34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1"/>
    </row>
    <row r="12" ht="36.0" customHeight="1">
      <c r="A12" s="23" t="s">
        <v>38</v>
      </c>
      <c r="B12" s="23" t="s">
        <v>39</v>
      </c>
      <c r="C12" s="23" t="s">
        <v>40</v>
      </c>
      <c r="D12" s="23" t="s">
        <v>41</v>
      </c>
      <c r="E12" s="23" t="s">
        <v>42</v>
      </c>
      <c r="F12" s="23" t="s">
        <v>43</v>
      </c>
      <c r="G12" s="23" t="s">
        <v>44</v>
      </c>
      <c r="H12" s="23" t="s">
        <v>45</v>
      </c>
      <c r="I12" s="23" t="s">
        <v>46</v>
      </c>
      <c r="J12" s="23" t="s">
        <v>47</v>
      </c>
      <c r="K12" s="23" t="s">
        <v>50</v>
      </c>
      <c r="L12" s="23" t="s">
        <v>51</v>
      </c>
      <c r="M12" s="23" t="s">
        <v>52</v>
      </c>
      <c r="N12" s="23" t="s">
        <v>54</v>
      </c>
      <c r="O12" s="23" t="s">
        <v>55</v>
      </c>
      <c r="P12" s="23" t="s">
        <v>56</v>
      </c>
      <c r="Q12" s="23" t="s">
        <v>58</v>
      </c>
      <c r="R12" s="23" t="s">
        <v>59</v>
      </c>
      <c r="S12" s="23" t="s">
        <v>60</v>
      </c>
    </row>
    <row r="13" ht="21.75" customHeight="1">
      <c r="A13" s="8" t="s">
        <v>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1"/>
    </row>
    <row r="14" ht="39.75" customHeight="1">
      <c r="A14" s="29" t="s">
        <v>95</v>
      </c>
      <c r="B14" s="29" t="s">
        <v>97</v>
      </c>
      <c r="C14" s="29" t="s">
        <v>99</v>
      </c>
      <c r="D14" s="29" t="s">
        <v>101</v>
      </c>
      <c r="E14" s="30">
        <v>8.0</v>
      </c>
      <c r="F14" s="29" t="s">
        <v>106</v>
      </c>
      <c r="G14" s="30">
        <v>6.0</v>
      </c>
      <c r="H14" s="29" t="s">
        <v>110</v>
      </c>
      <c r="I14" s="30">
        <v>5.0</v>
      </c>
      <c r="J14" s="33">
        <f t="shared" ref="J14:J15" si="1">E14*G14*I14</f>
        <v>240</v>
      </c>
      <c r="K14" s="37" t="str">
        <f t="shared" ref="K14:K15" si="2">IF(E14&gt;=9,"H",IF(J14&gt;=200,"H",IF(J14&gt;=100,"M","L")))</f>
        <v>H</v>
      </c>
      <c r="L14" s="29" t="s">
        <v>117</v>
      </c>
      <c r="M14" s="29" t="s">
        <v>118</v>
      </c>
      <c r="N14" s="29" t="s">
        <v>120</v>
      </c>
      <c r="O14" s="29" t="s">
        <v>121</v>
      </c>
      <c r="P14" s="30">
        <v>8.0</v>
      </c>
      <c r="Q14" s="30">
        <v>3.0</v>
      </c>
      <c r="R14" s="40">
        <v>4.0</v>
      </c>
      <c r="S14" s="33">
        <f t="shared" ref="S14:S15" si="3">IF(AND(P14&lt;&gt;"",Q14&lt;&gt;"",R14&lt;&gt;""),P14*Q14*R14,"")</f>
        <v>96</v>
      </c>
    </row>
    <row r="15" ht="41.25" customHeight="1">
      <c r="A15" s="29" t="s">
        <v>123</v>
      </c>
      <c r="B15" s="29" t="s">
        <v>124</v>
      </c>
      <c r="C15" s="29" t="s">
        <v>125</v>
      </c>
      <c r="D15" s="29" t="s">
        <v>126</v>
      </c>
      <c r="E15" s="40">
        <v>8.0</v>
      </c>
      <c r="F15" s="29" t="s">
        <v>127</v>
      </c>
      <c r="G15" s="40">
        <v>6.0</v>
      </c>
      <c r="H15" s="29" t="s">
        <v>128</v>
      </c>
      <c r="I15" s="40">
        <v>5.0</v>
      </c>
      <c r="J15" s="33">
        <f t="shared" si="1"/>
        <v>240</v>
      </c>
      <c r="K15" s="37" t="str">
        <f t="shared" si="2"/>
        <v>H</v>
      </c>
      <c r="L15" s="29" t="s">
        <v>129</v>
      </c>
      <c r="M15" s="29" t="s">
        <v>130</v>
      </c>
      <c r="N15" s="29" t="s">
        <v>131</v>
      </c>
      <c r="O15" s="29" t="s">
        <v>132</v>
      </c>
      <c r="P15" s="30"/>
      <c r="Q15" s="30"/>
      <c r="R15" s="30"/>
      <c r="S15" s="33" t="str">
        <f t="shared" si="3"/>
        <v/>
      </c>
    </row>
    <row r="19" ht="15.75" customHeight="1"/>
    <row r="20" ht="15.75" customHeight="1"/>
    <row r="21" ht="15.75" customHeight="1">
      <c r="A21" s="41"/>
      <c r="B21" s="4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7">
    <mergeCell ref="A1:S1"/>
    <mergeCell ref="A2:S2"/>
    <mergeCell ref="A3:S3"/>
    <mergeCell ref="A4:C4"/>
    <mergeCell ref="D4:S4"/>
    <mergeCell ref="A5:C5"/>
    <mergeCell ref="D5:S5"/>
    <mergeCell ref="D9:S9"/>
    <mergeCell ref="A11:S11"/>
    <mergeCell ref="A13:S13"/>
    <mergeCell ref="A6:C6"/>
    <mergeCell ref="D6:S6"/>
    <mergeCell ref="A7:C7"/>
    <mergeCell ref="D7:S7"/>
    <mergeCell ref="A8:C8"/>
    <mergeCell ref="D8:S8"/>
    <mergeCell ref="A9:C9"/>
  </mergeCells>
  <dataValidations>
    <dataValidation type="decimal" allowBlank="1" showInputMessage="1" showErrorMessage="1" prompt="Invalid Score - Enter a whole number from 1 to 10." sqref="E14:E15 G14:G15 I14:I15">
      <formula1>1.0</formula1>
      <formula2>10.0</formula2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2026-08-20T02:59:40Z</dcterms:created>
  <dc:creator>openpyxl</dc:creator>
</cp:coreProperties>
</file>