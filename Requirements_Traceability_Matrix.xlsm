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How to Use" sheetId="1" r:id="rId4"/>
    <sheet state="visible" name="Traceability Matrix" sheetId="2" r:id="rId5"/>
    <sheet state="visible" name="Example" sheetId="3" r:id="rId6"/>
  </sheets>
  <definedNames/>
  <calcPr/>
  <extLst>
    <ext uri="GoogleSheetsCustomDataVersion2">
      <go:sheetsCustomData xmlns:go="http://customooxmlschemas.google.com/" r:id="rId7" roundtripDataChecksum="TcNBMbhzlx/dJDtNHQOlZoELOvWjR4q7hYjnt2dWrec="/>
    </ext>
  </extLst>
</workbook>
</file>

<file path=xl/sharedStrings.xml><?xml version="1.0" encoding="utf-8"?>
<sst xmlns="http://schemas.openxmlformats.org/spreadsheetml/2006/main" count="113" uniqueCount="88">
  <si>
    <t>Requirements Traceability Matrix — Rechargeable Hostel Study Lamp</t>
  </si>
  <si>
    <t>Requirements Traceability Matrix — &lt;Project ID and Description&gt;</t>
  </si>
  <si>
    <t>Blue rows are available for student entries. Complete the chain from stakeholder need to evidence. The Traceability Check column updates automatically.</t>
  </si>
  <si>
    <t>Requirement ID</t>
  </si>
  <si>
    <t>Stakeholder / Source</t>
  </si>
  <si>
    <t>Customer need</t>
  </si>
  <si>
    <t>Measurable requirement statement</t>
  </si>
  <si>
    <t>Priority</t>
  </si>
  <si>
    <t>Requirement type</t>
  </si>
  <si>
    <t>Allocated design feature / subsystem</t>
  </si>
  <si>
    <t>Validation method</t>
  </si>
  <si>
    <t>Test case ID</t>
  </si>
  <si>
    <t>Evidence ID</t>
  </si>
  <si>
    <t>Validation status</t>
  </si>
  <si>
    <t>Traceability check</t>
  </si>
  <si>
    <t>Change-impact notes</t>
  </si>
  <si>
    <t>REQ-001</t>
  </si>
  <si>
    <t>Customer Survey and observation</t>
  </si>
  <si>
    <t xml:space="preserve">Light along the stairs must be bright enough to see the path </t>
  </si>
  <si>
    <t>DES-001 
At least 3J or more of energy captured per footstep</t>
  </si>
  <si>
    <t>Must</t>
  </si>
  <si>
    <t>Performance</t>
  </si>
  <si>
    <t>Piezeo bank sub-system in each tile</t>
  </si>
  <si>
    <t>Instrumented test</t>
  </si>
  <si>
    <t>T - 001</t>
  </si>
  <si>
    <t>EV-001</t>
  </si>
  <si>
    <t>Pass</t>
  </si>
  <si>
    <t>Tile bank has size constraints of 1 foot by 6 inch</t>
  </si>
  <si>
    <t>DES-002 : 
Voltage variation at the load must be less than 1%</t>
  </si>
  <si>
    <t>Tool 1 — Requirements Traceability Matrix</t>
  </si>
  <si>
    <t>Example Summary</t>
  </si>
  <si>
    <t>Purpose</t>
  </si>
  <si>
    <t>Metric</t>
  </si>
  <si>
    <t>Value</t>
  </si>
  <si>
    <t>Use this tool to demonstrate that every stakeholder need has been converted into a measurable requirement, allocated to the design, connected to a test and supported by evidence. It supports both forward traceability (need to evidence) and backward traceability (evidence back to the original need).</t>
  </si>
  <si>
    <t>Requirements entered</t>
  </si>
  <si>
    <t>Complete trace chains</t>
  </si>
  <si>
    <t>Traceability gaps</t>
  </si>
  <si>
    <t>Six-step workflow</t>
  </si>
  <si>
    <t>Passed</t>
  </si>
  <si>
    <t>1</t>
  </si>
  <si>
    <t>Capture the source and stakeholder need. Use the language of the user before translating it into engineering terms.</t>
  </si>
  <si>
    <t>Failed</t>
  </si>
  <si>
    <t>2</t>
  </si>
  <si>
    <t>Write one measurable requirement. Include a target, unit, operating condition and clear boundary where relevant.</t>
  </si>
  <si>
    <t>Not run / pending</t>
  </si>
  <si>
    <t>3</t>
  </si>
  <si>
    <t>Assign a unique requirement ID and priority. Avoid reusing IDs when requirements change.</t>
  </si>
  <si>
    <t>4</t>
  </si>
  <si>
    <t>Allocate the requirement to the subsystem or design feature responsible for satisfying it.</t>
  </si>
  <si>
    <t>Traceability result</t>
  </si>
  <si>
    <t>Count</t>
  </si>
  <si>
    <t>5</t>
  </si>
  <si>
    <t>Link a test case and evidence record. Enter the latest validation status using the dropdown.</t>
  </si>
  <si>
    <t>Complete</t>
  </si>
  <si>
    <t>6</t>
  </si>
  <si>
    <t>Review the automatic traceability check. Resolve every red “Gap” before design release.</t>
  </si>
  <si>
    <t>Gap</t>
  </si>
  <si>
    <t>Field guide</t>
  </si>
  <si>
    <t>Field</t>
  </si>
  <si>
    <t>What to enter</t>
  </si>
  <si>
    <t>Quality check</t>
  </si>
  <si>
    <t>Typical mistake</t>
  </si>
  <si>
    <t>A problem, expectation or outcome expressed by a stakeholder.</t>
  </si>
  <si>
    <t>Does it describe value rather than a solution?</t>
  </si>
  <si>
    <t>Writing “use a lithium battery” as a need.</t>
  </si>
  <si>
    <t>Requirement statement</t>
  </si>
  <si>
    <t>A single measurable “shall” statement.</t>
  </si>
  <si>
    <t>Is it unambiguous and testable?</t>
  </si>
  <si>
    <t>Using words such as light, fast, strong or user-friendly without a metric.</t>
  </si>
  <si>
    <t>Design allocation</t>
  </si>
  <si>
    <t>The feature, component or subsystem responsible.</t>
  </si>
  <si>
    <t>Can a design owner act on it?</t>
  </si>
  <si>
    <t>Assigning the entire product to every requirement.</t>
  </si>
  <si>
    <t>The unique identifier for the planned test.</t>
  </si>
  <si>
    <t>Can the test be located quickly?</t>
  </si>
  <si>
    <t>Using a method name but no controlled test record.</t>
  </si>
  <si>
    <t>A report, file, test log, photograph or approved record.</t>
  </si>
  <si>
    <t>Can another reviewer retrieve it?</t>
  </si>
  <si>
    <t>Entering “tested” without an evidence location.</t>
  </si>
  <si>
    <t>Other requirements or tests affected by a change.</t>
  </si>
  <si>
    <t>Does it reveal hidden coupling?</t>
  </si>
  <si>
    <t>Retesting only the changed requirement.</t>
  </si>
  <si>
    <t>Suggested classroom activity — 25 to 35 minutes</t>
  </si>
  <si>
    <t>Ask teams to identify two weak or incomplete requirement statements in the example.</t>
  </si>
  <si>
    <t>Delete one test-case link and one design allocation. Observe the automatic traceability gaps.</t>
  </si>
  <si>
    <t>Change the battery capacity and identify all requirements and tests affected by the change.</t>
  </si>
  <si>
    <t>Add one new requirement for repairability or sustainability and complete the full traceability chain.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</si>
</sst>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7">
    <font>
      <sz val="11.0"/>
      <color rgb="FF000000"/>
      <name val="Carlito"/>
      <scheme val="minor"/>
    </font>
    <font>
      <b/>
      <sz val="18.0"/>
      <color rgb="FFFFFFFF"/>
      <name val="Carlito"/>
    </font>
    <font>
      <sz val="10.0"/>
      <color rgb="FF25313C"/>
      <name val="Carlito"/>
    </font>
    <font>
      <b/>
      <sz val="10.0"/>
      <color rgb="FFFFFFFF"/>
      <name val="Carlito"/>
    </font>
    <font>
      <color theme="1"/>
      <name val="Carlito"/>
      <scheme val="minor"/>
    </font>
    <font>
      <b/>
      <sz val="12.0"/>
      <color rgb="FFFFFFFF"/>
      <name val="Carlito"/>
    </font>
    <font>
      <b/>
      <sz val="11.0"/>
      <color rgb="FF17365D"/>
      <name val="Carlito"/>
    </font>
  </fonts>
  <fills count="6">
    <fill>
      <patternFill patternType="none"/>
    </fill>
    <fill>
      <patternFill patternType="lightGray"/>
    </fill>
    <fill>
      <patternFill patternType="solid">
        <fgColor rgb="FF17365D"/>
        <bgColor rgb="FF17365D"/>
      </patternFill>
    </fill>
    <fill>
      <patternFill patternType="solid">
        <fgColor rgb="FFDDEEEE"/>
        <bgColor rgb="FFDDEEEE"/>
      </patternFill>
    </fill>
    <fill>
      <patternFill patternType="solid">
        <fgColor rgb="FFEAF1F8"/>
        <bgColor rgb="FFEAF1F8"/>
      </patternFill>
    </fill>
    <fill>
      <patternFill patternType="solid">
        <fgColor rgb="FF1F6D70"/>
        <bgColor rgb="FF1F6D70"/>
      </patternFill>
    </fill>
  </fills>
  <borders count="2">
    <border/>
    <border>
      <left/>
      <right/>
      <top/>
      <bottom/>
    </border>
  </borders>
  <cellStyleXfs count="1">
    <xf borderId="0" fillId="0" fontId="0" numFmtId="0" applyAlignment="1" applyFont="1"/>
  </cellStyleXfs>
  <cellXfs count="15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left" vertical="center"/>
    </xf>
    <xf borderId="0" fillId="2" fontId="1" numFmtId="0" xfId="0" applyAlignment="1" applyFont="1">
      <alignment horizontal="left" readingOrder="0" vertical="center"/>
    </xf>
    <xf borderId="0" fillId="3" fontId="2" numFmtId="0" xfId="0" applyAlignment="1" applyFill="1" applyFont="1">
      <alignment shrinkToFit="0" vertical="top" wrapText="1"/>
    </xf>
    <xf borderId="1" fillId="2" fontId="3" numFmtId="0" xfId="0" applyAlignment="1" applyBorder="1" applyFont="1">
      <alignment horizontal="center" shrinkToFit="0" vertical="center" wrapText="1"/>
    </xf>
    <xf borderId="0" fillId="0" fontId="2" numFmtId="0" xfId="0" applyAlignment="1" applyFont="1">
      <alignment shrinkToFit="0" vertical="top" wrapText="1"/>
    </xf>
    <xf borderId="0" fillId="0" fontId="2" numFmtId="0" xfId="0" applyAlignment="1" applyFont="1">
      <alignment horizontal="center" shrinkToFit="0" vertical="center" wrapText="1"/>
    </xf>
    <xf borderId="0" fillId="0" fontId="4" numFmtId="0" xfId="0" applyAlignment="1" applyFont="1">
      <alignment horizontal="center" readingOrder="0" shrinkToFit="0" vertical="center" wrapText="1"/>
    </xf>
    <xf borderId="0" fillId="0" fontId="2" numFmtId="0" xfId="0" applyAlignment="1" applyFont="1">
      <alignment horizontal="center" readingOrder="0" shrinkToFit="0" vertical="center" wrapText="1"/>
    </xf>
    <xf borderId="0" fillId="0" fontId="2" numFmtId="0" xfId="0" applyAlignment="1" applyFont="1">
      <alignment readingOrder="0" shrinkToFit="0" vertical="top" wrapText="1"/>
    </xf>
    <xf borderId="1" fillId="4" fontId="2" numFmtId="0" xfId="0" applyAlignment="1" applyBorder="1" applyFill="1" applyFont="1">
      <alignment shrinkToFit="0" vertical="top" wrapText="1"/>
    </xf>
    <xf borderId="0" fillId="5" fontId="5" numFmtId="0" xfId="0" applyAlignment="1" applyFill="1" applyFont="1">
      <alignment horizontal="left" vertical="center"/>
    </xf>
    <xf borderId="1" fillId="2" fontId="3" numFmtId="0" xfId="0" applyAlignment="1" applyBorder="1" applyFont="1">
      <alignment horizontal="center" shrinkToFit="0" vertical="center" wrapText="1"/>
    </xf>
    <xf borderId="0" fillId="0" fontId="2" numFmtId="0" xfId="0" applyAlignment="1" applyFont="1">
      <alignment shrinkToFit="0" vertical="top" wrapText="1"/>
    </xf>
    <xf borderId="1" fillId="4" fontId="6" numFmtId="0" xfId="0" applyAlignment="1" applyBorder="1" applyFont="1">
      <alignment horizontal="center" vertical="center"/>
    </xf>
  </cellXfs>
  <cellStyles count="1">
    <cellStyle xfId="0" name="Normal" builtinId="0"/>
  </cellStyles>
  <dxfs count="8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font>
        <b/>
        <color rgb="FF1E6B36"/>
      </font>
      <fill>
        <patternFill patternType="solid">
          <fgColor rgb="FFE6F4EA"/>
          <bgColor rgb="FFE6F4EA"/>
        </patternFill>
      </fill>
      <border/>
    </dxf>
    <dxf>
      <font>
        <b/>
        <color rgb="FF9C2D22"/>
      </font>
      <fill>
        <patternFill patternType="solid">
          <fgColor rgb="FFFCE8E6"/>
          <bgColor rgb="FFFCE8E6"/>
        </patternFill>
      </fill>
      <border/>
    </dxf>
    <dxf>
      <font>
        <b/>
        <color rgb="FF7A5B00"/>
      </font>
      <fill>
        <patternFill patternType="solid">
          <fgColor rgb="FFFFF4CE"/>
          <bgColor rgb="FFFFF4CE"/>
        </patternFill>
      </fill>
      <border/>
    </dxf>
    <dxf>
      <font>
        <color rgb="FF1E6B36"/>
      </font>
      <fill>
        <patternFill patternType="solid">
          <fgColor rgb="FFE6F4EA"/>
          <bgColor rgb="FFE6F4EA"/>
        </patternFill>
      </fill>
      <border/>
    </dxf>
  </dxfs>
  <tableStyles count="2">
    <tableStyle count="3" pivot="0" name="Example-style">
      <tableStyleElement dxfId="1" type="headerRow"/>
      <tableStyleElement dxfId="2" type="firstRowStripe"/>
      <tableStyleElement dxfId="3" type="secondRowStripe"/>
    </tableStyle>
    <tableStyle count="3" pivot="0" name="Traceability Matrix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Traceability coverage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Count</c:v>
          </c:tx>
          <c:spPr>
            <a:solidFill>
              <a:schemeClr val="accent1"/>
            </a:solidFill>
            <a:ln cmpd="sng">
              <a:noFill/>
            </a:ln>
          </c:spPr>
          <c:cat>
            <c:strRef>
              <c:f>'How to Use'!$J$13:$J$14</c:f>
            </c:strRef>
          </c:cat>
          <c:val>
            <c:numRef>
              <c:f>'How to Use'!$K$13:$K$14</c:f>
              <c:numCache/>
            </c:numRef>
          </c:val>
        </c:ser>
        <c:axId val="2063817956"/>
        <c:axId val="970739508"/>
      </c:barChart>
      <c:catAx>
        <c:axId val="20638179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970739508"/>
      </c:catAx>
      <c:valAx>
        <c:axId val="97073950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2063817956"/>
      </c:valAx>
    </c:plotArea>
    <c:plotVisOnly val="1"/>
  </c:chart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9</xdr:col>
      <xdr:colOff>0</xdr:colOff>
      <xdr:row>15</xdr:row>
      <xdr:rowOff>0</xdr:rowOff>
    </xdr:from>
    <xdr:ext cx="4648200" cy="2800350"/>
    <xdr:graphicFrame>
      <xdr:nvGraphicFramePr>
        <xdr:cNvPr id="1863495668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6:M26" displayName="Table_1" name="Table_1" id="2">
  <tableColumns count="13">
    <tableColumn name="Requirement ID" id="1"/>
    <tableColumn name="Stakeholder / Source" id="2"/>
    <tableColumn name="Customer need" id="3"/>
    <tableColumn name="Measurable requirement statement" id="4"/>
    <tableColumn name="Priority" id="5"/>
    <tableColumn name="Requirement type" id="6"/>
    <tableColumn name="Allocated design feature / subsystem" id="7"/>
    <tableColumn name="Validation method" id="8"/>
    <tableColumn name="Test case ID" id="9"/>
    <tableColumn name="Evidence ID" id="10"/>
    <tableColumn name="Validation status" id="11"/>
    <tableColumn name="Traceability check" id="12"/>
    <tableColumn name="Change-impact notes" id="13"/>
  </tableColumns>
  <tableStyleInfo name="Traceability Matrix-style" showColumnStripes="0" showFirstColumn="1" showLastColumn="1" showRowStripes="1"/>
</table>
</file>

<file path=xl/tables/table2.xml><?xml version="1.0" encoding="utf-8"?>
<table xmlns="http://schemas.openxmlformats.org/spreadsheetml/2006/main" ref="A6:M26" displayName="Table_2" name="Table_2" id="1">
  <tableColumns count="13">
    <tableColumn name="Requirement ID" id="1"/>
    <tableColumn name="Stakeholder / Source" id="2"/>
    <tableColumn name="Customer need" id="3"/>
    <tableColumn name="Measurable requirement statement" id="4"/>
    <tableColumn name="Priority" id="5"/>
    <tableColumn name="Requirement type" id="6"/>
    <tableColumn name="Allocated design feature / subsystem" id="7"/>
    <tableColumn name="Validation method" id="8"/>
    <tableColumn name="Test case ID" id="9"/>
    <tableColumn name="Evidence ID" id="10"/>
    <tableColumn name="Validation status" id="11"/>
    <tableColumn name="Traceability check" id="12"/>
    <tableColumn name="Change-impact notes" id="13"/>
  </tableColumns>
  <tableStyleInfo name="Example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1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7.0"/>
    <col customWidth="1" min="2" max="2" width="52.0"/>
    <col customWidth="1" min="3" max="3" width="32.0"/>
    <col customWidth="1" min="4" max="4" width="35.0"/>
    <col customWidth="1" min="5" max="8" width="12.0"/>
    <col customWidth="1" min="9" max="9" width="8.63"/>
    <col customWidth="1" min="10" max="10" width="24.0"/>
    <col customWidth="1" min="11" max="11" width="13.0"/>
    <col customWidth="1" min="12" max="13" width="12.0"/>
    <col customWidth="1" min="14" max="26" width="8.63"/>
  </cols>
  <sheetData>
    <row r="1">
      <c r="A1" s="1" t="s">
        <v>29</v>
      </c>
      <c r="J1" s="1" t="s">
        <v>30</v>
      </c>
    </row>
    <row r="4">
      <c r="A4" s="11" t="s">
        <v>31</v>
      </c>
      <c r="J4" s="12" t="s">
        <v>32</v>
      </c>
      <c r="K4" s="12" t="s">
        <v>33</v>
      </c>
    </row>
    <row r="5">
      <c r="A5" s="3" t="s">
        <v>34</v>
      </c>
      <c r="J5" s="13" t="s">
        <v>35</v>
      </c>
      <c r="K5" s="13">
        <f>COUNTA('Traceability Matrix'!A7:A26)</f>
        <v>0</v>
      </c>
    </row>
    <row r="6">
      <c r="J6" s="13" t="s">
        <v>36</v>
      </c>
      <c r="K6" s="13">
        <f>COUNTIF('Traceability Matrix'!L7:L26,"Complete")</f>
        <v>0</v>
      </c>
    </row>
    <row r="7">
      <c r="J7" s="13" t="s">
        <v>37</v>
      </c>
      <c r="K7" s="13">
        <f>COUNTIF('Traceability Matrix'!L7:L26,"Gap")</f>
        <v>0</v>
      </c>
    </row>
    <row r="8">
      <c r="A8" s="11" t="s">
        <v>38</v>
      </c>
      <c r="J8" s="13" t="s">
        <v>39</v>
      </c>
      <c r="K8" s="13">
        <f>COUNTIF('Traceability Matrix'!K7:K26,"Pass")</f>
        <v>0</v>
      </c>
    </row>
    <row r="9">
      <c r="A9" s="14" t="s">
        <v>40</v>
      </c>
      <c r="B9" s="13" t="s">
        <v>41</v>
      </c>
      <c r="J9" s="13" t="s">
        <v>42</v>
      </c>
      <c r="K9" s="13">
        <f>COUNTIF('Traceability Matrix'!K7:K26,"Fail")</f>
        <v>0</v>
      </c>
    </row>
    <row r="10">
      <c r="A10" s="14" t="s">
        <v>43</v>
      </c>
      <c r="B10" s="13" t="s">
        <v>44</v>
      </c>
      <c r="J10" s="13" t="s">
        <v>45</v>
      </c>
      <c r="K10" s="13">
        <f>COUNTIF('Traceability Matrix'!K7:K26,"Not Run")+COUNTIF('Traceability Matrix'!K7:K26,"Pending")</f>
        <v>0</v>
      </c>
    </row>
    <row r="11">
      <c r="A11" s="14" t="s">
        <v>46</v>
      </c>
      <c r="B11" s="13" t="s">
        <v>47</v>
      </c>
    </row>
    <row r="12">
      <c r="A12" s="14" t="s">
        <v>48</v>
      </c>
      <c r="B12" s="13" t="s">
        <v>49</v>
      </c>
      <c r="J12" s="12" t="s">
        <v>50</v>
      </c>
      <c r="K12" s="12" t="s">
        <v>51</v>
      </c>
    </row>
    <row r="13">
      <c r="A13" s="14" t="s">
        <v>52</v>
      </c>
      <c r="B13" s="13" t="s">
        <v>53</v>
      </c>
      <c r="J13" s="13" t="s">
        <v>54</v>
      </c>
      <c r="K13" s="13">
        <f>COUNTIF('Traceability Matrix'!L7:L26,J13)</f>
        <v>0</v>
      </c>
    </row>
    <row r="14">
      <c r="A14" s="14" t="s">
        <v>55</v>
      </c>
      <c r="B14" s="13" t="s">
        <v>56</v>
      </c>
      <c r="J14" s="13" t="s">
        <v>57</v>
      </c>
      <c r="K14" s="13">
        <f>COUNTIF('Traceability Matrix'!L8:L27,J14)</f>
        <v>0</v>
      </c>
    </row>
    <row r="16">
      <c r="A16" s="11" t="s">
        <v>58</v>
      </c>
    </row>
    <row r="17">
      <c r="A17" s="12" t="s">
        <v>59</v>
      </c>
      <c r="B17" s="12" t="s">
        <v>60</v>
      </c>
      <c r="C17" s="12" t="s">
        <v>61</v>
      </c>
      <c r="D17" s="12" t="s">
        <v>62</v>
      </c>
    </row>
    <row r="18">
      <c r="A18" s="13" t="s">
        <v>5</v>
      </c>
      <c r="B18" s="13" t="s">
        <v>63</v>
      </c>
      <c r="C18" s="13" t="s">
        <v>64</v>
      </c>
      <c r="D18" s="13" t="s">
        <v>65</v>
      </c>
    </row>
    <row r="19">
      <c r="A19" s="13" t="s">
        <v>66</v>
      </c>
      <c r="B19" s="13" t="s">
        <v>67</v>
      </c>
      <c r="C19" s="13" t="s">
        <v>68</v>
      </c>
      <c r="D19" s="13" t="s">
        <v>69</v>
      </c>
    </row>
    <row r="20">
      <c r="A20" s="13" t="s">
        <v>70</v>
      </c>
      <c r="B20" s="13" t="s">
        <v>71</v>
      </c>
      <c r="C20" s="13" t="s">
        <v>72</v>
      </c>
      <c r="D20" s="13" t="s">
        <v>73</v>
      </c>
    </row>
    <row r="21" ht="15.75" customHeight="1">
      <c r="A21" s="13" t="s">
        <v>11</v>
      </c>
      <c r="B21" s="13" t="s">
        <v>74</v>
      </c>
      <c r="C21" s="13" t="s">
        <v>75</v>
      </c>
      <c r="D21" s="13" t="s">
        <v>76</v>
      </c>
    </row>
    <row r="22" ht="15.75" customHeight="1">
      <c r="A22" s="13" t="s">
        <v>12</v>
      </c>
      <c r="B22" s="13" t="s">
        <v>77</v>
      </c>
      <c r="C22" s="13" t="s">
        <v>78</v>
      </c>
      <c r="D22" s="13" t="s">
        <v>79</v>
      </c>
    </row>
    <row r="23" ht="15.75" customHeight="1">
      <c r="A23" s="13" t="s">
        <v>15</v>
      </c>
      <c r="B23" s="13" t="s">
        <v>80</v>
      </c>
      <c r="C23" s="13" t="s">
        <v>81</v>
      </c>
      <c r="D23" s="13" t="s">
        <v>82</v>
      </c>
    </row>
    <row r="24" ht="15.75" customHeight="1"/>
    <row r="25" ht="15.75" customHeight="1">
      <c r="A25" s="11" t="s">
        <v>83</v>
      </c>
    </row>
    <row r="26" ht="15.75" customHeight="1">
      <c r="A26" s="14" t="s">
        <v>40</v>
      </c>
      <c r="B26" s="13" t="s">
        <v>84</v>
      </c>
    </row>
    <row r="27" ht="15.75" customHeight="1">
      <c r="A27" s="14" t="s">
        <v>43</v>
      </c>
      <c r="B27" s="13" t="s">
        <v>85</v>
      </c>
    </row>
    <row r="28" ht="15.75" customHeight="1">
      <c r="A28" s="14" t="s">
        <v>46</v>
      </c>
      <c r="B28" s="13" t="s">
        <v>86</v>
      </c>
    </row>
    <row r="29" ht="15.75" customHeight="1">
      <c r="A29" s="14" t="s">
        <v>48</v>
      </c>
      <c r="B29" s="13" t="s">
        <v>87</v>
      </c>
    </row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7">
    <mergeCell ref="A1:H2"/>
    <mergeCell ref="J1:M2"/>
    <mergeCell ref="A4:H4"/>
    <mergeCell ref="A5:H6"/>
    <mergeCell ref="A8:H8"/>
    <mergeCell ref="A16:H16"/>
    <mergeCell ref="A25:H25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4.0"/>
    <col customWidth="1" min="2" max="2" width="22.0"/>
    <col customWidth="1" min="3" max="3" width="31.0"/>
    <col customWidth="1" min="4" max="4" width="45.0"/>
    <col customWidth="1" min="5" max="5" width="10.0"/>
    <col customWidth="1" min="6" max="6" width="15.0"/>
    <col customWidth="1" min="7" max="7" width="30.0"/>
    <col customWidth="1" min="8" max="8" width="20.0"/>
    <col customWidth="1" min="9" max="10" width="12.0"/>
    <col customWidth="1" min="11" max="11" width="17.0"/>
    <col customWidth="1" min="12" max="12" width="16.0"/>
    <col customWidth="1" min="13" max="13" width="32.0"/>
    <col customWidth="1" min="14" max="26" width="8.63"/>
  </cols>
  <sheetData>
    <row r="1">
      <c r="A1" s="2" t="s">
        <v>1</v>
      </c>
    </row>
    <row r="3">
      <c r="A3" s="3" t="s">
        <v>2</v>
      </c>
    </row>
    <row r="6" ht="42.0" customHeight="1">
      <c r="A6" s="4" t="s">
        <v>3</v>
      </c>
      <c r="B6" s="4" t="s">
        <v>4</v>
      </c>
      <c r="C6" s="4" t="s">
        <v>5</v>
      </c>
      <c r="D6" s="4" t="s">
        <v>6</v>
      </c>
      <c r="E6" s="4" t="s">
        <v>7</v>
      </c>
      <c r="F6" s="4" t="s">
        <v>8</v>
      </c>
      <c r="G6" s="4" t="s">
        <v>9</v>
      </c>
      <c r="H6" s="4" t="s">
        <v>10</v>
      </c>
      <c r="I6" s="4" t="s">
        <v>11</v>
      </c>
      <c r="J6" s="4" t="s">
        <v>12</v>
      </c>
      <c r="K6" s="4" t="s">
        <v>13</v>
      </c>
      <c r="L6" s="4" t="s">
        <v>14</v>
      </c>
      <c r="M6" s="4" t="s">
        <v>15</v>
      </c>
    </row>
    <row r="7" ht="57.75" customHeight="1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9" t="str">
        <f t="shared" ref="L7:L26" si="1">IF(A7="","",IF(OR(B7="",C7="",D7="",G7="",H7="",I7="",J7=""),"Gap","Complete"))</f>
        <v/>
      </c>
      <c r="M7" s="5"/>
    </row>
    <row r="8" ht="57.75" customHeight="1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9" t="str">
        <f t="shared" si="1"/>
        <v/>
      </c>
      <c r="M8" s="5"/>
    </row>
    <row r="9" ht="57.75" customHeight="1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9" t="str">
        <f t="shared" si="1"/>
        <v/>
      </c>
      <c r="M9" s="5"/>
    </row>
    <row r="10" ht="57.75" customHeight="1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9" t="str">
        <f t="shared" si="1"/>
        <v/>
      </c>
      <c r="M10" s="5"/>
    </row>
    <row r="11" ht="57.75" customHeight="1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9" t="str">
        <f t="shared" si="1"/>
        <v/>
      </c>
      <c r="M11" s="5"/>
    </row>
    <row r="12" ht="57.75" customHeight="1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9" t="str">
        <f t="shared" si="1"/>
        <v/>
      </c>
      <c r="M12" s="5"/>
    </row>
    <row r="13" ht="57.75" customHeight="1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9" t="str">
        <f t="shared" si="1"/>
        <v/>
      </c>
      <c r="M13" s="5"/>
    </row>
    <row r="14" ht="57.75" customHeight="1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9" t="str">
        <f t="shared" si="1"/>
        <v/>
      </c>
      <c r="M14" s="5"/>
    </row>
    <row r="15" ht="57.75" customHeight="1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9" t="str">
        <f t="shared" si="1"/>
        <v/>
      </c>
      <c r="M15" s="5"/>
    </row>
    <row r="16" ht="57.75" customHeight="1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9" t="str">
        <f t="shared" si="1"/>
        <v/>
      </c>
      <c r="M16" s="5"/>
    </row>
    <row r="17" ht="57.75" customHeight="1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9" t="str">
        <f t="shared" si="1"/>
        <v/>
      </c>
      <c r="M17" s="10"/>
    </row>
    <row r="18" ht="57.75" customHeight="1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9" t="str">
        <f t="shared" si="1"/>
        <v/>
      </c>
      <c r="M18" s="10"/>
    </row>
    <row r="19" ht="57.75" customHeight="1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9" t="str">
        <f t="shared" si="1"/>
        <v/>
      </c>
      <c r="M19" s="10"/>
    </row>
    <row r="20" ht="57.75" customHeight="1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9" t="str">
        <f t="shared" si="1"/>
        <v/>
      </c>
      <c r="M20" s="10"/>
    </row>
    <row r="21" ht="57.75" customHeight="1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9" t="str">
        <f t="shared" si="1"/>
        <v/>
      </c>
      <c r="M21" s="10"/>
    </row>
    <row r="22" ht="57.75" customHeight="1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9" t="str">
        <f t="shared" si="1"/>
        <v/>
      </c>
      <c r="M22" s="10"/>
    </row>
    <row r="23" ht="57.75" customHeight="1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9" t="str">
        <f t="shared" si="1"/>
        <v/>
      </c>
      <c r="M23" s="10"/>
    </row>
    <row r="24" ht="57.75" customHeight="1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9" t="str">
        <f t="shared" si="1"/>
        <v/>
      </c>
      <c r="M24" s="10"/>
    </row>
    <row r="25" ht="57.75" customHeight="1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9" t="str">
        <f t="shared" si="1"/>
        <v/>
      </c>
      <c r="M25" s="10"/>
    </row>
    <row r="26" ht="57.75" customHeight="1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 t="str">
        <f t="shared" si="1"/>
        <v/>
      </c>
      <c r="M26" s="10"/>
    </row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M2"/>
    <mergeCell ref="A3:M4"/>
  </mergeCells>
  <conditionalFormatting sqref="K7:K26">
    <cfRule type="expression" dxfId="4" priority="1">
      <formula>K7="Pass"</formula>
    </cfRule>
  </conditionalFormatting>
  <conditionalFormatting sqref="K7:K26">
    <cfRule type="expression" dxfId="5" priority="2">
      <formula>K7="Fail"</formula>
    </cfRule>
  </conditionalFormatting>
  <conditionalFormatting sqref="K7:K26">
    <cfRule type="expression" dxfId="6" priority="3">
      <formula>OR(K7="Not Run",K7="Blocked",K7="Pending")</formula>
    </cfRule>
  </conditionalFormatting>
  <conditionalFormatting sqref="L7:L26">
    <cfRule type="expression" dxfId="5" priority="4">
      <formula>L7="Gap"</formula>
    </cfRule>
  </conditionalFormatting>
  <conditionalFormatting sqref="L7:L26">
    <cfRule type="expression" dxfId="7" priority="5">
      <formula>L7="Complete"</formula>
    </cfRule>
  </conditionalFormatting>
  <dataValidations>
    <dataValidation type="list" allowBlank="1" sqref="H7:H26">
      <formula1>"Measurement,Instrumented test,Runtime test,Charging test,Thermal test,Drop test,Dimensional inspection,User validation,Cycle test,Analysis,Inspection"</formula1>
    </dataValidation>
    <dataValidation type="list" allowBlank="1" sqref="F7:F26">
      <formula1>"Performance,Safety,Reliability,Physical,Usability,Durability,Human factors,Interface,Regulatory"</formula1>
    </dataValidation>
    <dataValidation type="list" allowBlank="1" sqref="K7:K26">
      <formula1>"Pass,Fail,Not Run,Pending,Blocked"</formula1>
    </dataValidation>
    <dataValidation type="list" allowBlank="1" sqref="E7:E26">
      <formula1>"Must,Should,Could"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4.0"/>
    <col customWidth="1" min="2" max="2" width="22.0"/>
    <col customWidth="1" min="3" max="3" width="31.0"/>
    <col customWidth="1" min="4" max="4" width="45.0"/>
    <col customWidth="1" min="5" max="5" width="10.0"/>
    <col customWidth="1" min="6" max="6" width="15.0"/>
    <col customWidth="1" min="7" max="7" width="30.0"/>
    <col customWidth="1" min="8" max="8" width="20.0"/>
    <col customWidth="1" min="9" max="10" width="12.0"/>
    <col customWidth="1" min="11" max="11" width="17.0"/>
    <col customWidth="1" min="12" max="12" width="16.0"/>
    <col customWidth="1" min="13" max="13" width="32.0"/>
    <col customWidth="1" min="14" max="26" width="8.63"/>
  </cols>
  <sheetData>
    <row r="1">
      <c r="A1" s="1" t="s">
        <v>0</v>
      </c>
    </row>
    <row r="3">
      <c r="A3" s="3" t="s">
        <v>2</v>
      </c>
    </row>
    <row r="6" ht="42.0" customHeight="1">
      <c r="A6" s="4" t="s">
        <v>3</v>
      </c>
      <c r="B6" s="4" t="s">
        <v>4</v>
      </c>
      <c r="C6" s="4" t="s">
        <v>5</v>
      </c>
      <c r="D6" s="4" t="s">
        <v>6</v>
      </c>
      <c r="E6" s="4" t="s">
        <v>7</v>
      </c>
      <c r="F6" s="4" t="s">
        <v>8</v>
      </c>
      <c r="G6" s="4" t="s">
        <v>9</v>
      </c>
      <c r="H6" s="4" t="s">
        <v>10</v>
      </c>
      <c r="I6" s="4" t="s">
        <v>11</v>
      </c>
      <c r="J6" s="4" t="s">
        <v>12</v>
      </c>
      <c r="K6" s="4" t="s">
        <v>13</v>
      </c>
      <c r="L6" s="4" t="s">
        <v>14</v>
      </c>
      <c r="M6" s="4" t="s">
        <v>15</v>
      </c>
    </row>
    <row r="7" ht="57.75" customHeight="1">
      <c r="A7" s="6" t="s">
        <v>16</v>
      </c>
      <c r="B7" s="7" t="s">
        <v>17</v>
      </c>
      <c r="C7" s="8" t="s">
        <v>18</v>
      </c>
      <c r="D7" s="8" t="s">
        <v>19</v>
      </c>
      <c r="E7" s="8" t="s">
        <v>20</v>
      </c>
      <c r="F7" s="8" t="s">
        <v>21</v>
      </c>
      <c r="G7" s="8" t="s">
        <v>22</v>
      </c>
      <c r="H7" s="8" t="s">
        <v>23</v>
      </c>
      <c r="I7" s="8" t="s">
        <v>24</v>
      </c>
      <c r="J7" s="8" t="s">
        <v>25</v>
      </c>
      <c r="K7" s="8" t="s">
        <v>26</v>
      </c>
      <c r="L7" s="8" t="str">
        <f t="shared" ref="L7:L26" si="1">IF(A7="","",IF(OR(B7="",C7="",D7="",G7="",H7="",I7="",J7=""),"Gap","Complete"))</f>
        <v>Complete</v>
      </c>
      <c r="M7" s="8" t="s">
        <v>27</v>
      </c>
    </row>
    <row r="8" ht="57.75" customHeight="1">
      <c r="A8" s="6" t="s">
        <v>16</v>
      </c>
      <c r="B8" s="7" t="s">
        <v>17</v>
      </c>
      <c r="C8" s="8" t="s">
        <v>18</v>
      </c>
      <c r="D8" s="8" t="s">
        <v>28</v>
      </c>
      <c r="E8" s="8"/>
      <c r="F8" s="8"/>
      <c r="G8" s="8"/>
      <c r="H8" s="8"/>
      <c r="I8" s="8"/>
      <c r="J8" s="8"/>
      <c r="K8" s="8"/>
      <c r="L8" s="8" t="str">
        <f t="shared" si="1"/>
        <v>Gap</v>
      </c>
      <c r="M8" s="6"/>
    </row>
    <row r="9" ht="57.75" customHeight="1">
      <c r="A9" s="5"/>
      <c r="B9" s="9"/>
      <c r="C9" s="5"/>
      <c r="D9" s="5"/>
      <c r="E9" s="5"/>
      <c r="F9" s="5"/>
      <c r="G9" s="5"/>
      <c r="H9" s="5"/>
      <c r="I9" s="5"/>
      <c r="J9" s="5"/>
      <c r="K9" s="5"/>
      <c r="L9" s="9" t="str">
        <f t="shared" si="1"/>
        <v/>
      </c>
      <c r="M9" s="5"/>
    </row>
    <row r="10" ht="57.75" customHeight="1">
      <c r="A10" s="5"/>
      <c r="B10" s="9"/>
      <c r="C10" s="5"/>
      <c r="D10" s="5"/>
      <c r="E10" s="5"/>
      <c r="F10" s="5"/>
      <c r="G10" s="5"/>
      <c r="H10" s="5"/>
      <c r="I10" s="5"/>
      <c r="J10" s="5"/>
      <c r="K10" s="5"/>
      <c r="L10" s="9" t="str">
        <f t="shared" si="1"/>
        <v/>
      </c>
      <c r="M10" s="5"/>
    </row>
    <row r="11" ht="57.75" customHeight="1">
      <c r="A11" s="5"/>
      <c r="B11" s="9"/>
      <c r="C11" s="5"/>
      <c r="D11" s="5"/>
      <c r="E11" s="5"/>
      <c r="F11" s="5"/>
      <c r="G11" s="5"/>
      <c r="H11" s="5"/>
      <c r="I11" s="5"/>
      <c r="J11" s="5"/>
      <c r="K11" s="5"/>
      <c r="L11" s="9" t="str">
        <f t="shared" si="1"/>
        <v/>
      </c>
      <c r="M11" s="5"/>
    </row>
    <row r="12" ht="57.75" customHeight="1">
      <c r="A12" s="5"/>
      <c r="B12" s="9"/>
      <c r="C12" s="5"/>
      <c r="D12" s="5"/>
      <c r="E12" s="5"/>
      <c r="F12" s="5"/>
      <c r="G12" s="5"/>
      <c r="H12" s="5"/>
      <c r="I12" s="5"/>
      <c r="J12" s="5"/>
      <c r="K12" s="5"/>
      <c r="L12" s="9" t="str">
        <f t="shared" si="1"/>
        <v/>
      </c>
      <c r="M12" s="5"/>
    </row>
    <row r="13" ht="57.75" customHeight="1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9" t="str">
        <f t="shared" si="1"/>
        <v/>
      </c>
      <c r="M13" s="5"/>
    </row>
    <row r="14" ht="57.75" customHeight="1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9" t="str">
        <f t="shared" si="1"/>
        <v/>
      </c>
      <c r="M14" s="5"/>
    </row>
    <row r="15" ht="57.75" customHeight="1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9" t="str">
        <f t="shared" si="1"/>
        <v/>
      </c>
      <c r="M15" s="5"/>
    </row>
    <row r="16" ht="57.75" customHeight="1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9" t="str">
        <f t="shared" si="1"/>
        <v/>
      </c>
      <c r="M16" s="5"/>
    </row>
    <row r="17" ht="57.75" customHeight="1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9" t="str">
        <f t="shared" si="1"/>
        <v/>
      </c>
      <c r="M17" s="10"/>
    </row>
    <row r="18" ht="57.75" customHeight="1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9" t="str">
        <f t="shared" si="1"/>
        <v/>
      </c>
      <c r="M18" s="10"/>
    </row>
    <row r="19" ht="57.75" customHeight="1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9" t="str">
        <f t="shared" si="1"/>
        <v/>
      </c>
      <c r="M19" s="10"/>
    </row>
    <row r="20" ht="57.75" customHeight="1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9" t="str">
        <f t="shared" si="1"/>
        <v/>
      </c>
      <c r="M20" s="10"/>
    </row>
    <row r="21" ht="57.75" customHeight="1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9" t="str">
        <f t="shared" si="1"/>
        <v/>
      </c>
      <c r="M21" s="10"/>
    </row>
    <row r="22" ht="57.75" customHeight="1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9" t="str">
        <f t="shared" si="1"/>
        <v/>
      </c>
      <c r="M22" s="10"/>
    </row>
    <row r="23" ht="57.75" customHeight="1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9" t="str">
        <f t="shared" si="1"/>
        <v/>
      </c>
      <c r="M23" s="10"/>
    </row>
    <row r="24" ht="57.75" customHeight="1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9" t="str">
        <f t="shared" si="1"/>
        <v/>
      </c>
      <c r="M24" s="10"/>
    </row>
    <row r="25" ht="57.75" customHeight="1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9" t="str">
        <f t="shared" si="1"/>
        <v/>
      </c>
      <c r="M25" s="10"/>
    </row>
    <row r="26" ht="57.75" customHeight="1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 t="str">
        <f t="shared" si="1"/>
        <v/>
      </c>
      <c r="M26" s="10"/>
    </row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M2"/>
    <mergeCell ref="A3:M4"/>
  </mergeCells>
  <conditionalFormatting sqref="K7:K26">
    <cfRule type="expression" dxfId="4" priority="1">
      <formula>K7="Pass"</formula>
    </cfRule>
  </conditionalFormatting>
  <conditionalFormatting sqref="K7:K26">
    <cfRule type="expression" dxfId="5" priority="2">
      <formula>K7="Fail"</formula>
    </cfRule>
  </conditionalFormatting>
  <conditionalFormatting sqref="K7:K26">
    <cfRule type="expression" dxfId="6" priority="3">
      <formula>OR(K7="Not Run",K7="Blocked",K7="Pending")</formula>
    </cfRule>
  </conditionalFormatting>
  <conditionalFormatting sqref="L7:L26">
    <cfRule type="expression" dxfId="5" priority="4">
      <formula>L7="Gap"</formula>
    </cfRule>
  </conditionalFormatting>
  <conditionalFormatting sqref="L7:L26">
    <cfRule type="expression" dxfId="7" priority="5">
      <formula>L7="Complete"</formula>
    </cfRule>
  </conditionalFormatting>
  <dataValidations>
    <dataValidation type="list" allowBlank="1" sqref="H7:H26">
      <formula1>"Measurement,Instrumented test,Runtime test,Charging test,Thermal test,Drop test,Dimensional inspection,User validation,Cycle test,Analysis,Inspection"</formula1>
    </dataValidation>
    <dataValidation type="list" allowBlank="1" sqref="F7:F26">
      <formula1>"Performance,Safety,Reliability,Physical,Usability,Durability,Human factors,Interface,Regulatory"</formula1>
    </dataValidation>
    <dataValidation type="list" allowBlank="1" sqref="K7:K26">
      <formula1>"Pass,Fail,Not Run,Pending,Blocked"</formula1>
    </dataValidation>
    <dataValidation type="list" allowBlank="1" sqref="E7:E26">
      <formula1>"Must,Should,Could"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